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zart\Documents\calc_pos_moex\"/>
    </mc:Choice>
  </mc:AlternateContent>
  <bookViews>
    <workbookView xWindow="0" yWindow="0" windowWidth="28800" windowHeight="12330" activeTab="2"/>
  </bookViews>
  <sheets>
    <sheet name="Лист1" sheetId="1" r:id="rId1"/>
    <sheet name="Лист2" sheetId="2" r:id="rId2"/>
    <sheet name="Лист3" sheetId="3" r:id="rId3"/>
    <sheet name="Лист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H11" i="3" l="1"/>
  <c r="G11" i="3"/>
  <c r="D11" i="3"/>
  <c r="N7" i="3"/>
  <c r="N11" i="3" s="1"/>
  <c r="L7" i="3" l="1"/>
  <c r="L11" i="3" s="1"/>
  <c r="M7" i="3"/>
  <c r="M11" i="3" s="1"/>
  <c r="O7" i="3" l="1"/>
  <c r="O11" i="3" s="1"/>
  <c r="H13" i="3" l="1"/>
  <c r="D13" i="3"/>
  <c r="D12" i="3" l="1"/>
  <c r="H12" i="3" s="1"/>
  <c r="P7" i="3"/>
  <c r="P11" i="3" s="1"/>
  <c r="K11" i="3" s="1"/>
  <c r="M12" i="3" l="1"/>
  <c r="M13" i="3"/>
  <c r="L12" i="3"/>
  <c r="L13" i="3"/>
  <c r="N12" i="3"/>
  <c r="N13" i="3"/>
  <c r="O12" i="3"/>
  <c r="O13" i="3"/>
  <c r="P12" i="3"/>
  <c r="P13" i="3"/>
  <c r="D18" i="3"/>
  <c r="H18" i="3" s="1"/>
  <c r="N18" i="3"/>
  <c r="M18" i="3"/>
  <c r="L18" i="3"/>
  <c r="K12" i="3" l="1"/>
  <c r="K13" i="3"/>
  <c r="G13" i="3"/>
  <c r="G18" i="3" l="1"/>
  <c r="G12" i="3"/>
  <c r="O6" i="3" l="1"/>
  <c r="O18" i="3"/>
  <c r="P6" i="3"/>
  <c r="P18" i="3"/>
  <c r="D47" i="3"/>
  <c r="N6" i="3"/>
  <c r="G47" i="3" l="1"/>
  <c r="H47" i="3"/>
  <c r="K18" i="3"/>
  <c r="P47" i="3"/>
  <c r="O47" i="3"/>
  <c r="N47" i="3"/>
  <c r="M6" i="3" l="1"/>
  <c r="L6" i="3"/>
  <c r="M54" i="3" l="1"/>
  <c r="L47" i="3"/>
  <c r="M47" i="3"/>
  <c r="P8" i="3"/>
  <c r="P9" i="3"/>
  <c r="P16" i="3"/>
  <c r="P21" i="3"/>
  <c r="P25" i="3"/>
  <c r="P29" i="3"/>
  <c r="P33" i="3"/>
  <c r="P37" i="3"/>
  <c r="P41" i="3"/>
  <c r="P49" i="3"/>
  <c r="P30" i="3"/>
  <c r="P38" i="3"/>
  <c r="P45" i="3"/>
  <c r="P50" i="3"/>
  <c r="P51" i="3"/>
  <c r="P28" i="3"/>
  <c r="P40" i="3"/>
  <c r="P10" i="3"/>
  <c r="P17" i="3"/>
  <c r="P22" i="3"/>
  <c r="P26" i="3"/>
  <c r="P34" i="3"/>
  <c r="P42" i="3"/>
  <c r="P15" i="3"/>
  <c r="P24" i="3"/>
  <c r="P36" i="3"/>
  <c r="P48" i="3"/>
  <c r="P14" i="3"/>
  <c r="P19" i="3"/>
  <c r="P23" i="3"/>
  <c r="P27" i="3"/>
  <c r="P31" i="3"/>
  <c r="P35" i="3"/>
  <c r="P39" i="3"/>
  <c r="P43" i="3"/>
  <c r="P46" i="3"/>
  <c r="P20" i="3"/>
  <c r="P32" i="3"/>
  <c r="P44" i="3"/>
  <c r="O8" i="3"/>
  <c r="O9" i="3"/>
  <c r="O16" i="3"/>
  <c r="O21" i="3"/>
  <c r="O25" i="3"/>
  <c r="O29" i="3"/>
  <c r="O33" i="3"/>
  <c r="O37" i="3"/>
  <c r="O41" i="3"/>
  <c r="O49" i="3"/>
  <c r="O17" i="3"/>
  <c r="O22" i="3"/>
  <c r="O26" i="3"/>
  <c r="O30" i="3"/>
  <c r="O38" i="3"/>
  <c r="O42" i="3"/>
  <c r="O45" i="3"/>
  <c r="O50" i="3"/>
  <c r="O14" i="3"/>
  <c r="O19" i="3"/>
  <c r="O27" i="3"/>
  <c r="O35" i="3"/>
  <c r="O43" i="3"/>
  <c r="O51" i="3"/>
  <c r="O15" i="3"/>
  <c r="O24" i="3"/>
  <c r="O32" i="3"/>
  <c r="O40" i="3"/>
  <c r="O10" i="3"/>
  <c r="O34" i="3"/>
  <c r="O23" i="3"/>
  <c r="O39" i="3"/>
  <c r="O46" i="3"/>
  <c r="O20" i="3"/>
  <c r="O36" i="3"/>
  <c r="O44" i="3"/>
  <c r="O31" i="3"/>
  <c r="O28" i="3"/>
  <c r="O48" i="3"/>
  <c r="N8" i="3"/>
  <c r="N9" i="3"/>
  <c r="N16" i="3"/>
  <c r="N21" i="3"/>
  <c r="N25" i="3"/>
  <c r="N29" i="3"/>
  <c r="N33" i="3"/>
  <c r="N37" i="3"/>
  <c r="N41" i="3"/>
  <c r="N49" i="3"/>
  <c r="N10" i="3"/>
  <c r="N17" i="3"/>
  <c r="N22" i="3"/>
  <c r="N26" i="3"/>
  <c r="N30" i="3"/>
  <c r="N34" i="3"/>
  <c r="N38" i="3"/>
  <c r="N42" i="3"/>
  <c r="N45" i="3"/>
  <c r="N50" i="3"/>
  <c r="N14" i="3"/>
  <c r="N19" i="3"/>
  <c r="N23" i="3"/>
  <c r="N27" i="3"/>
  <c r="N31" i="3"/>
  <c r="N35" i="3"/>
  <c r="N39" i="3"/>
  <c r="N43" i="3"/>
  <c r="N46" i="3"/>
  <c r="N51" i="3"/>
  <c r="N15" i="3"/>
  <c r="N20" i="3"/>
  <c r="N24" i="3"/>
  <c r="N28" i="3"/>
  <c r="N32" i="3"/>
  <c r="N36" i="3"/>
  <c r="N40" i="3"/>
  <c r="N44" i="3"/>
  <c r="N48" i="3"/>
  <c r="K47" i="3" l="1"/>
  <c r="M8" i="3"/>
  <c r="M14" i="3"/>
  <c r="M19" i="3"/>
  <c r="M23" i="3"/>
  <c r="M27" i="3"/>
  <c r="M31" i="3"/>
  <c r="M35" i="3"/>
  <c r="M39" i="3"/>
  <c r="M43" i="3"/>
  <c r="M46" i="3"/>
  <c r="M51" i="3"/>
  <c r="M28" i="3"/>
  <c r="M36" i="3"/>
  <c r="M44" i="3"/>
  <c r="M48" i="3"/>
  <c r="M16" i="3"/>
  <c r="M21" i="3"/>
  <c r="M25" i="3"/>
  <c r="M33" i="3"/>
  <c r="M41" i="3"/>
  <c r="M17" i="3"/>
  <c r="M22" i="3"/>
  <c r="M30" i="3"/>
  <c r="M38" i="3"/>
  <c r="M45" i="3"/>
  <c r="M15" i="3"/>
  <c r="M20" i="3"/>
  <c r="M24" i="3"/>
  <c r="M32" i="3"/>
  <c r="M40" i="3"/>
  <c r="M29" i="3"/>
  <c r="M37" i="3"/>
  <c r="M49" i="3"/>
  <c r="M26" i="3"/>
  <c r="M34" i="3"/>
  <c r="M42" i="3"/>
  <c r="M50" i="3"/>
  <c r="M10" i="3"/>
  <c r="M9" i="3"/>
  <c r="L44" i="3"/>
  <c r="L48" i="3"/>
  <c r="L50" i="3"/>
  <c r="L51" i="3"/>
  <c r="L49" i="3"/>
  <c r="L45" i="3"/>
  <c r="L46" i="3"/>
  <c r="L14" i="3"/>
  <c r="L19" i="3"/>
  <c r="L23" i="3"/>
  <c r="L27" i="3"/>
  <c r="L31" i="3"/>
  <c r="L35" i="3"/>
  <c r="L39" i="3"/>
  <c r="L43" i="3"/>
  <c r="L15" i="3"/>
  <c r="L20" i="3"/>
  <c r="L24" i="3"/>
  <c r="L28" i="3"/>
  <c r="L32" i="3"/>
  <c r="L36" i="3"/>
  <c r="L40" i="3"/>
  <c r="L16" i="3"/>
  <c r="L21" i="3"/>
  <c r="L25" i="3"/>
  <c r="L29" i="3"/>
  <c r="L33" i="3"/>
  <c r="L37" i="3"/>
  <c r="L41" i="3"/>
  <c r="L17" i="3"/>
  <c r="L22" i="3"/>
  <c r="L26" i="3"/>
  <c r="L30" i="3"/>
  <c r="L34" i="3"/>
  <c r="L38" i="3"/>
  <c r="L42" i="3"/>
  <c r="L8" i="3"/>
  <c r="L10" i="3"/>
  <c r="L9" i="3"/>
  <c r="D50" i="3"/>
  <c r="H50" i="3" s="1"/>
  <c r="K46" i="3" l="1"/>
  <c r="K17" i="3"/>
  <c r="K22" i="3"/>
  <c r="K27" i="3"/>
  <c r="K51" i="3"/>
  <c r="K20" i="3"/>
  <c r="K45" i="3"/>
  <c r="K43" i="3"/>
  <c r="K25" i="3"/>
  <c r="K32" i="3"/>
  <c r="K21" i="3"/>
  <c r="K36" i="3"/>
  <c r="K8" i="3"/>
  <c r="K50" i="3"/>
  <c r="K38" i="3"/>
  <c r="K29" i="3"/>
  <c r="K34" i="3"/>
  <c r="K33" i="3"/>
  <c r="K40" i="3"/>
  <c r="K16" i="3"/>
  <c r="K28" i="3"/>
  <c r="K10" i="3"/>
  <c r="K26" i="3"/>
  <c r="K15" i="3"/>
  <c r="K44" i="3"/>
  <c r="K31" i="3"/>
  <c r="K14" i="3"/>
  <c r="K9" i="3"/>
  <c r="K30" i="3"/>
  <c r="K35" i="3"/>
  <c r="K19" i="3"/>
  <c r="K49" i="3"/>
  <c r="K23" i="3"/>
  <c r="K24" i="3"/>
  <c r="K42" i="3"/>
  <c r="K41" i="3"/>
  <c r="K37" i="3"/>
  <c r="K39" i="3"/>
  <c r="K48" i="3"/>
  <c r="D42" i="3"/>
  <c r="H42" i="3" s="1"/>
  <c r="G42" i="3" l="1"/>
  <c r="G50" i="3"/>
  <c r="D54" i="3"/>
  <c r="H54" i="3" s="1"/>
  <c r="D53" i="3"/>
  <c r="H53" i="3" s="1"/>
  <c r="D46" i="3"/>
  <c r="H46" i="3" s="1"/>
  <c r="D52" i="3" l="1"/>
  <c r="H52" i="3" s="1"/>
  <c r="G46" i="3" l="1"/>
  <c r="G54" i="3"/>
  <c r="G53" i="3"/>
  <c r="G52" i="3"/>
  <c r="D30" i="3"/>
  <c r="H30" i="3" s="1"/>
  <c r="D40" i="3" l="1"/>
  <c r="H40" i="3" s="1"/>
  <c r="D32" i="3" l="1"/>
  <c r="H32" i="3" s="1"/>
  <c r="G30" i="3" l="1"/>
  <c r="G40" i="3" l="1"/>
  <c r="G32" i="3"/>
  <c r="D41" i="3"/>
  <c r="H41" i="3" s="1"/>
  <c r="D15" i="3" l="1"/>
  <c r="H15" i="3" s="1"/>
  <c r="D36" i="3"/>
  <c r="H36" i="3" s="1"/>
  <c r="D28" i="3" l="1"/>
  <c r="H28" i="3" s="1"/>
  <c r="D39" i="3" l="1"/>
  <c r="H39" i="3" s="1"/>
  <c r="D17" i="3" l="1"/>
  <c r="H17" i="3" s="1"/>
  <c r="D34" i="3" l="1"/>
  <c r="H34" i="3" s="1"/>
  <c r="D44" i="3"/>
  <c r="H44" i="3" s="1"/>
  <c r="D38" i="3"/>
  <c r="H38" i="3" s="1"/>
  <c r="D43" i="3"/>
  <c r="H43" i="3" s="1"/>
  <c r="D49" i="3"/>
  <c r="H49" i="3" s="1"/>
  <c r="D33" i="3" l="1"/>
  <c r="H33" i="3" s="1"/>
  <c r="D10" i="3"/>
  <c r="H10" i="3" s="1"/>
  <c r="D19" i="3"/>
  <c r="H19" i="3" s="1"/>
  <c r="D21" i="3" l="1"/>
  <c r="H21" i="3" s="1"/>
  <c r="D31" i="3" l="1"/>
  <c r="H31" i="3" s="1"/>
  <c r="D24" i="3"/>
  <c r="H24" i="3" s="1"/>
  <c r="D45" i="3"/>
  <c r="H45" i="3" s="1"/>
  <c r="D20" i="3"/>
  <c r="H20" i="3" s="1"/>
  <c r="D16" i="3"/>
  <c r="H16" i="3" s="1"/>
  <c r="D35" i="3" l="1"/>
  <c r="H35" i="3" s="1"/>
  <c r="D37" i="3"/>
  <c r="H37" i="3" s="1"/>
  <c r="D8" i="3" l="1"/>
  <c r="H8" i="3" s="1"/>
  <c r="D25" i="3" l="1"/>
  <c r="H25" i="3" s="1"/>
  <c r="D48" i="3" l="1"/>
  <c r="H48" i="3" s="1"/>
  <c r="D14" i="3"/>
  <c r="H14" i="3" s="1"/>
  <c r="D26" i="3"/>
  <c r="H26" i="3" s="1"/>
  <c r="D51" i="3"/>
  <c r="H51" i="3" s="1"/>
  <c r="D29" i="3"/>
  <c r="H29" i="3" s="1"/>
  <c r="D27" i="3"/>
  <c r="H27" i="3" s="1"/>
  <c r="D23" i="3"/>
  <c r="H23" i="3" s="1"/>
  <c r="D9" i="3"/>
  <c r="H9" i="3" s="1"/>
  <c r="G28" i="3" l="1"/>
  <c r="G41" i="3"/>
  <c r="G15" i="3"/>
  <c r="G36" i="3"/>
  <c r="G39" i="3"/>
  <c r="G17" i="3"/>
  <c r="G21" i="3"/>
  <c r="G38" i="3"/>
  <c r="G44" i="3"/>
  <c r="G43" i="3"/>
  <c r="G49" i="3"/>
  <c r="G34" i="3"/>
  <c r="G10" i="3"/>
  <c r="G33" i="3"/>
  <c r="G19" i="3"/>
  <c r="G31" i="3"/>
  <c r="G20" i="3"/>
  <c r="G45" i="3"/>
  <c r="G24" i="3"/>
  <c r="G16" i="3"/>
  <c r="G35" i="3"/>
  <c r="G37" i="3"/>
  <c r="G51" i="3"/>
  <c r="G26" i="3"/>
  <c r="G23" i="3"/>
  <c r="G29" i="3"/>
  <c r="G14" i="3"/>
  <c r="G8" i="3"/>
  <c r="G25" i="3"/>
  <c r="G9" i="3"/>
  <c r="G27" i="3"/>
  <c r="G48" i="3"/>
  <c r="O10" i="2"/>
  <c r="G19" i="2" l="1"/>
  <c r="G20" i="2"/>
  <c r="G21" i="2"/>
  <c r="F19" i="2"/>
  <c r="F20" i="2"/>
  <c r="F21" i="2"/>
  <c r="F3" i="2" l="1"/>
  <c r="F2" i="2"/>
  <c r="F12" i="1"/>
  <c r="F11" i="1"/>
  <c r="E12" i="1"/>
  <c r="E11" i="1" l="1"/>
  <c r="E7" i="1"/>
  <c r="E5" i="1"/>
  <c r="F10" i="1"/>
  <c r="E10" i="1" s="1"/>
  <c r="F9" i="1"/>
  <c r="E9" i="1" s="1"/>
  <c r="F8" i="1"/>
  <c r="E8" i="1" s="1"/>
  <c r="F7" i="1"/>
  <c r="F6" i="1"/>
  <c r="E6" i="1" s="1"/>
  <c r="F5" i="1"/>
  <c r="D22" i="3"/>
  <c r="H22" i="3" s="1"/>
  <c r="G22" i="3" l="1"/>
</calcChain>
</file>

<file path=xl/sharedStrings.xml><?xml version="1.0" encoding="utf-8"?>
<sst xmlns="http://schemas.openxmlformats.org/spreadsheetml/2006/main" count="141" uniqueCount="98">
  <si>
    <t>Депозит</t>
  </si>
  <si>
    <t>Шаг цены</t>
  </si>
  <si>
    <t>Стоимость шага цены</t>
  </si>
  <si>
    <t>%</t>
  </si>
  <si>
    <t>Стоп в пункт</t>
  </si>
  <si>
    <t>Стоп в Р</t>
  </si>
  <si>
    <t>RTS</t>
  </si>
  <si>
    <t>Br</t>
  </si>
  <si>
    <t>Si</t>
  </si>
  <si>
    <t>Eu</t>
  </si>
  <si>
    <t>SR</t>
  </si>
  <si>
    <t>CNY</t>
  </si>
  <si>
    <t>NG</t>
  </si>
  <si>
    <t>Кол контрактов</t>
  </si>
  <si>
    <t>GD</t>
  </si>
  <si>
    <t xml:space="preserve"> - ячейки в которые можно вносить изменения </t>
  </si>
  <si>
    <t>Инструмент</t>
  </si>
  <si>
    <t>NGQ3</t>
  </si>
  <si>
    <t>ТВХ</t>
  </si>
  <si>
    <t>Стоп</t>
  </si>
  <si>
    <t>Кол-во</t>
  </si>
  <si>
    <t>Стоимость шага:</t>
  </si>
  <si>
    <t>Результат:</t>
  </si>
  <si>
    <t>Max убыток:</t>
  </si>
  <si>
    <t>Текущая цена:</t>
  </si>
  <si>
    <t>Дата</t>
  </si>
  <si>
    <t>Результат</t>
  </si>
  <si>
    <t>Стоп убыток</t>
  </si>
  <si>
    <t>NGV3</t>
  </si>
  <si>
    <t>NGX3</t>
  </si>
  <si>
    <t>Точка б/у</t>
  </si>
  <si>
    <t>Код</t>
  </si>
  <si>
    <t>ATRсредн (руб)</t>
  </si>
  <si>
    <t>SL (руб)</t>
  </si>
  <si>
    <t>Стоим шага цены</t>
  </si>
  <si>
    <t xml:space="preserve">Кол-во </t>
  </si>
  <si>
    <t>MTSS</t>
  </si>
  <si>
    <t>YDEX</t>
  </si>
  <si>
    <t>MAGN</t>
  </si>
  <si>
    <t>OZON</t>
  </si>
  <si>
    <t>AFLT</t>
  </si>
  <si>
    <t>MGNT</t>
  </si>
  <si>
    <t>NLMK</t>
  </si>
  <si>
    <t>CHMF</t>
  </si>
  <si>
    <t>VKCO</t>
  </si>
  <si>
    <t>MTLR</t>
  </si>
  <si>
    <t>AFKS</t>
  </si>
  <si>
    <t>SL (шаг цены)</t>
  </si>
  <si>
    <t>SBER</t>
  </si>
  <si>
    <t>ROSN</t>
  </si>
  <si>
    <t>EUTR</t>
  </si>
  <si>
    <t>IRAO</t>
  </si>
  <si>
    <t>TRMK</t>
  </si>
  <si>
    <t>MOEX</t>
  </si>
  <si>
    <t>PHOR</t>
  </si>
  <si>
    <t>LKOH</t>
  </si>
  <si>
    <t>GMKN</t>
  </si>
  <si>
    <t>ALRS</t>
  </si>
  <si>
    <t>PLZL</t>
  </si>
  <si>
    <t>VTBR</t>
  </si>
  <si>
    <t>SNGSP</t>
  </si>
  <si>
    <t>SFIN</t>
  </si>
  <si>
    <t>TATN</t>
  </si>
  <si>
    <t>RNFT</t>
  </si>
  <si>
    <t>GAZP</t>
  </si>
  <si>
    <t>SGZH</t>
  </si>
  <si>
    <t>NVTK</t>
  </si>
  <si>
    <t>RUAL</t>
  </si>
  <si>
    <t>FLOT</t>
  </si>
  <si>
    <t>SMLT</t>
  </si>
  <si>
    <t>PIKK</t>
  </si>
  <si>
    <t>SIBN</t>
  </si>
  <si>
    <t>POSI</t>
  </si>
  <si>
    <t>MXI</t>
  </si>
  <si>
    <t>TRNFP</t>
  </si>
  <si>
    <t>SNGS</t>
  </si>
  <si>
    <t>X5</t>
  </si>
  <si>
    <t xml:space="preserve"> </t>
  </si>
  <si>
    <t>ATR</t>
  </si>
  <si>
    <t>Обновлено</t>
  </si>
  <si>
    <t>UGLD</t>
  </si>
  <si>
    <t>SiH6</t>
  </si>
  <si>
    <t>FEES</t>
  </si>
  <si>
    <t>BSPB</t>
  </si>
  <si>
    <t>BSPBP</t>
  </si>
  <si>
    <t>Риск 0.6%</t>
  </si>
  <si>
    <t>Утренние пробросы</t>
  </si>
  <si>
    <t>TTF</t>
  </si>
  <si>
    <t>SPYF</t>
  </si>
  <si>
    <t>SRM6</t>
  </si>
  <si>
    <t>GLM6</t>
  </si>
  <si>
    <t>SiM6</t>
  </si>
  <si>
    <t>MMM6</t>
  </si>
  <si>
    <t>GL</t>
  </si>
  <si>
    <t>FFJ6</t>
  </si>
  <si>
    <t>SFM6</t>
  </si>
  <si>
    <t>EuM6</t>
  </si>
  <si>
    <t>ASTR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</si>
</sst>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&quot;₽&quot;"/>
    <numFmt numFmtId="165" formatCode="#,##0.000"/>
    <numFmt numFmtId="166" formatCode="#,##0.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3" fontId="1" fillId="0" borderId="1" xfId="0" applyNumberFormat="1" applyFont="1" applyBorder="1"/>
    <xf numFmtId="4" fontId="1" fillId="0" borderId="1" xfId="0" applyNumberFormat="1" applyFont="1" applyBorder="1"/>
    <xf numFmtId="165" fontId="1" fillId="0" borderId="1" xfId="0" applyNumberFormat="1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6" fontId="1" fillId="0" borderId="1" xfId="0" applyNumberFormat="1" applyFont="1" applyBorder="1"/>
    <xf numFmtId="0" fontId="0" fillId="2" borderId="0" xfId="0" applyFill="1"/>
    <xf numFmtId="1" fontId="3" fillId="0" borderId="1" xfId="0" applyNumberFormat="1" applyFont="1" applyBorder="1"/>
    <xf numFmtId="1" fontId="2" fillId="0" borderId="1" xfId="0" applyNumberFormat="1" applyFont="1" applyBorder="1"/>
    <xf numFmtId="0" fontId="0" fillId="0" borderId="1" xfId="0" applyFill="1" applyBorder="1" applyAlignment="1">
      <alignment horizontal="center"/>
    </xf>
    <xf numFmtId="1" fontId="0" fillId="0" borderId="1" xfId="0" applyNumberFormat="1" applyBorder="1"/>
    <xf numFmtId="0" fontId="0" fillId="3" borderId="0" xfId="0" applyFill="1"/>
    <xf numFmtId="0" fontId="0" fillId="4" borderId="1" xfId="0" applyFill="1" applyBorder="1"/>
    <xf numFmtId="1" fontId="0" fillId="4" borderId="1" xfId="0" applyNumberFormat="1" applyFill="1" applyBorder="1"/>
    <xf numFmtId="14" fontId="0" fillId="4" borderId="1" xfId="0" applyNumberFormat="1" applyFill="1" applyBorder="1"/>
    <xf numFmtId="0" fontId="0" fillId="0" borderId="1" xfId="0" applyFill="1" applyBorder="1"/>
    <xf numFmtId="0" fontId="0" fillId="0" borderId="0" xfId="0" applyBorder="1"/>
    <xf numFmtId="0" fontId="0" fillId="0" borderId="0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7" fontId="0" fillId="0" borderId="1" xfId="0" applyNumberFormat="1" applyBorder="1"/>
    <xf numFmtId="0" fontId="0" fillId="8" borderId="1" xfId="0" applyFill="1" applyBorder="1"/>
    <xf numFmtId="14" fontId="0" fillId="0" borderId="0" xfId="0" applyNumberFormat="1"/>
    <xf numFmtId="0" fontId="0" fillId="0" borderId="4" xfId="0" applyBorder="1"/>
    <xf numFmtId="0" fontId="0" fillId="0" borderId="5" xfId="0" applyBorder="1"/>
    <xf numFmtId="14" fontId="0" fillId="0" borderId="1" xfId="0" applyNumberFormat="1" applyBorder="1"/>
    <xf numFmtId="0" fontId="0" fillId="0" borderId="6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  <color rgb="FFFF00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F5" sqref="F5"/>
    </sheetView>
  </sheetViews>
  <sheetFormatPr defaultRowHeight="15" x14ac:dyDescent="0.25"/>
  <cols>
    <col min="1" max="1" width="9.7109375" customWidth="1"/>
    <col min="2" max="2" width="12" customWidth="1"/>
    <col min="3" max="3" width="21.5703125" customWidth="1"/>
    <col min="4" max="4" width="6.5703125" customWidth="1"/>
    <col min="5" max="5" width="14.28515625" customWidth="1"/>
    <col min="6" max="6" width="11.5703125" customWidth="1"/>
    <col min="7" max="7" width="19.28515625" customWidth="1"/>
  </cols>
  <sheetData>
    <row r="1" spans="1:7" ht="15.75" thickBot="1" x14ac:dyDescent="0.3"/>
    <row r="2" spans="1:7" ht="15.75" thickBot="1" x14ac:dyDescent="0.3">
      <c r="A2" s="3" t="s">
        <v>0</v>
      </c>
      <c r="B2" s="4">
        <v>100000</v>
      </c>
    </row>
    <row r="4" spans="1:7" s="6" customFormat="1" x14ac:dyDescent="0.25">
      <c r="A4" s="5"/>
      <c r="B4" s="5" t="s">
        <v>1</v>
      </c>
      <c r="C4" s="5" t="s">
        <v>2</v>
      </c>
      <c r="D4" s="10" t="s">
        <v>3</v>
      </c>
      <c r="E4" s="5" t="s">
        <v>4</v>
      </c>
      <c r="F4" s="5" t="s">
        <v>5</v>
      </c>
      <c r="G4" s="10" t="s">
        <v>13</v>
      </c>
    </row>
    <row r="5" spans="1:7" x14ac:dyDescent="0.25">
      <c r="A5" s="1" t="s">
        <v>6</v>
      </c>
      <c r="B5" s="1">
        <v>10</v>
      </c>
      <c r="C5" s="1">
        <v>14.01</v>
      </c>
      <c r="D5" s="11">
        <v>0.2</v>
      </c>
      <c r="E5" s="7">
        <f>INT(F5/C5)*B5/G5</f>
        <v>140</v>
      </c>
      <c r="F5" s="2">
        <f>B2*D5/100</f>
        <v>200</v>
      </c>
      <c r="G5" s="11">
        <v>1</v>
      </c>
    </row>
    <row r="6" spans="1:7" x14ac:dyDescent="0.25">
      <c r="A6" s="1" t="s">
        <v>7</v>
      </c>
      <c r="B6" s="1">
        <v>0.01</v>
      </c>
      <c r="C6" s="1">
        <v>9.0399999999999991</v>
      </c>
      <c r="D6" s="11">
        <v>1</v>
      </c>
      <c r="E6" s="8">
        <f t="shared" ref="E6:E12" si="0">F6/C6*B6/G6</f>
        <v>1.1061946902654869</v>
      </c>
      <c r="F6" s="2">
        <f>B2*D6/100</f>
        <v>1000</v>
      </c>
      <c r="G6" s="11">
        <v>1</v>
      </c>
    </row>
    <row r="7" spans="1:7" x14ac:dyDescent="0.25">
      <c r="A7" s="1" t="s">
        <v>8</v>
      </c>
      <c r="B7" s="1">
        <v>1</v>
      </c>
      <c r="C7" s="1">
        <v>1</v>
      </c>
      <c r="D7" s="11">
        <v>0.2</v>
      </c>
      <c r="E7" s="7">
        <f t="shared" si="0"/>
        <v>200</v>
      </c>
      <c r="F7" s="2">
        <f>B2*D7/100</f>
        <v>200</v>
      </c>
      <c r="G7" s="11">
        <v>1</v>
      </c>
    </row>
    <row r="8" spans="1:7" x14ac:dyDescent="0.25">
      <c r="A8" s="1" t="s">
        <v>9</v>
      </c>
      <c r="B8" s="1">
        <v>1</v>
      </c>
      <c r="C8" s="1">
        <v>1</v>
      </c>
      <c r="D8" s="11">
        <v>0.2</v>
      </c>
      <c r="E8" s="7">
        <f t="shared" si="0"/>
        <v>200</v>
      </c>
      <c r="F8" s="2">
        <f>B2*D8/100</f>
        <v>200</v>
      </c>
      <c r="G8" s="11">
        <v>1</v>
      </c>
    </row>
    <row r="9" spans="1:7" x14ac:dyDescent="0.25">
      <c r="A9" s="1" t="s">
        <v>10</v>
      </c>
      <c r="B9" s="1">
        <v>1</v>
      </c>
      <c r="C9" s="1">
        <v>1</v>
      </c>
      <c r="D9" s="11">
        <v>0.2</v>
      </c>
      <c r="E9" s="7">
        <f t="shared" si="0"/>
        <v>200</v>
      </c>
      <c r="F9" s="2">
        <f>B2*D9/100</f>
        <v>200</v>
      </c>
      <c r="G9" s="11">
        <v>1</v>
      </c>
    </row>
    <row r="10" spans="1:7" x14ac:dyDescent="0.25">
      <c r="A10" s="1" t="s">
        <v>11</v>
      </c>
      <c r="B10" s="1">
        <v>1E-3</v>
      </c>
      <c r="C10" s="1">
        <v>1</v>
      </c>
      <c r="D10" s="11">
        <v>0.2</v>
      </c>
      <c r="E10" s="9">
        <f t="shared" si="0"/>
        <v>0.2</v>
      </c>
      <c r="F10" s="2">
        <f>B2*D10/100</f>
        <v>200</v>
      </c>
      <c r="G10" s="11">
        <v>1</v>
      </c>
    </row>
    <row r="11" spans="1:7" x14ac:dyDescent="0.25">
      <c r="A11" s="1" t="s">
        <v>12</v>
      </c>
      <c r="B11" s="1">
        <v>1E-3</v>
      </c>
      <c r="C11" s="1">
        <v>9.66</v>
      </c>
      <c r="D11" s="11">
        <v>1</v>
      </c>
      <c r="E11" s="9">
        <f t="shared" si="0"/>
        <v>0.10351966873706005</v>
      </c>
      <c r="F11" s="2">
        <f>B2*D11/100</f>
        <v>1000</v>
      </c>
      <c r="G11" s="11">
        <v>1</v>
      </c>
    </row>
    <row r="12" spans="1:7" x14ac:dyDescent="0.25">
      <c r="A12" s="1" t="s">
        <v>14</v>
      </c>
      <c r="B12" s="1">
        <v>0.1</v>
      </c>
      <c r="C12" s="1">
        <v>7.51</v>
      </c>
      <c r="D12" s="11">
        <v>1</v>
      </c>
      <c r="E12" s="12">
        <f t="shared" si="0"/>
        <v>13.315579227696407</v>
      </c>
      <c r="F12" s="2">
        <f>B2*D12/100</f>
        <v>1000</v>
      </c>
      <c r="G12" s="11">
        <v>1</v>
      </c>
    </row>
    <row r="14" spans="1:7" x14ac:dyDescent="0.25">
      <c r="A14" s="13"/>
      <c r="B14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8"/>
  <sheetViews>
    <sheetView workbookViewId="0">
      <selection activeCell="P13" sqref="P13"/>
    </sheetView>
  </sheetViews>
  <sheetFormatPr defaultRowHeight="15" x14ac:dyDescent="0.25"/>
  <cols>
    <col min="2" max="2" width="17.140625" customWidth="1"/>
    <col min="5" max="5" width="11.85546875" customWidth="1"/>
    <col min="6" max="6" width="10.140625" bestFit="1" customWidth="1"/>
    <col min="7" max="7" width="13.42578125" customWidth="1"/>
    <col min="8" max="8" width="11.28515625" customWidth="1"/>
    <col min="14" max="14" width="17.140625" customWidth="1"/>
  </cols>
  <sheetData>
    <row r="2" spans="2:17" x14ac:dyDescent="0.25">
      <c r="B2" s="1" t="s">
        <v>24</v>
      </c>
      <c r="C2" s="11">
        <v>2.9649999999999999</v>
      </c>
      <c r="E2" s="1" t="s">
        <v>22</v>
      </c>
      <c r="F2" s="14">
        <f>SUM(F6:F38)</f>
        <v>-9954.7800000000061</v>
      </c>
    </row>
    <row r="3" spans="2:17" x14ac:dyDescent="0.25">
      <c r="B3" s="1" t="s">
        <v>21</v>
      </c>
      <c r="C3" s="11">
        <v>9.66</v>
      </c>
      <c r="E3" s="1" t="s">
        <v>23</v>
      </c>
      <c r="F3" s="15">
        <f>SUM(G6:G38)</f>
        <v>38.640000000000036</v>
      </c>
    </row>
    <row r="5" spans="2:17" s="6" customFormat="1" x14ac:dyDescent="0.25">
      <c r="B5" s="5" t="s">
        <v>16</v>
      </c>
      <c r="C5" s="5" t="s">
        <v>18</v>
      </c>
      <c r="D5" s="5" t="s">
        <v>19</v>
      </c>
      <c r="E5" s="5" t="s">
        <v>20</v>
      </c>
      <c r="F5" s="5" t="s">
        <v>26</v>
      </c>
      <c r="G5" s="5" t="s">
        <v>27</v>
      </c>
      <c r="H5" s="16" t="s">
        <v>25</v>
      </c>
      <c r="J5" s="13"/>
      <c r="K5" t="s">
        <v>15</v>
      </c>
      <c r="L5"/>
      <c r="M5"/>
      <c r="N5"/>
    </row>
    <row r="6" spans="2:17" x14ac:dyDescent="0.25">
      <c r="B6" s="19" t="s">
        <v>17</v>
      </c>
      <c r="C6" s="11">
        <v>2.5369999999999999</v>
      </c>
      <c r="D6" s="11">
        <v>2.5459999999999998</v>
      </c>
      <c r="E6" s="11">
        <v>1</v>
      </c>
      <c r="F6" s="20">
        <v>85</v>
      </c>
      <c r="G6" s="20">
        <v>0</v>
      </c>
      <c r="H6" s="21">
        <v>45141</v>
      </c>
      <c r="I6" s="18" t="s">
        <v>19</v>
      </c>
    </row>
    <row r="7" spans="2:17" x14ac:dyDescent="0.25">
      <c r="B7" s="19" t="s">
        <v>17</v>
      </c>
      <c r="C7" s="11">
        <v>2.6160000000000001</v>
      </c>
      <c r="D7" s="11">
        <v>2.5529999999999999</v>
      </c>
      <c r="E7" s="11">
        <v>1</v>
      </c>
      <c r="F7" s="20">
        <v>-591</v>
      </c>
      <c r="G7" s="20">
        <v>0</v>
      </c>
      <c r="H7" s="21">
        <v>45142</v>
      </c>
      <c r="I7" s="18" t="s">
        <v>19</v>
      </c>
    </row>
    <row r="8" spans="2:17" x14ac:dyDescent="0.25">
      <c r="B8" s="19" t="s">
        <v>17</v>
      </c>
      <c r="C8" s="11">
        <v>2.8140000000000001</v>
      </c>
      <c r="D8" s="11">
        <v>2.7170000000000001</v>
      </c>
      <c r="E8" s="11">
        <v>1</v>
      </c>
      <c r="F8" s="20">
        <v>-3149</v>
      </c>
      <c r="G8" s="20">
        <v>0</v>
      </c>
      <c r="H8" s="21">
        <v>45148</v>
      </c>
      <c r="I8" s="18" t="s">
        <v>19</v>
      </c>
    </row>
    <row r="9" spans="2:17" x14ac:dyDescent="0.25">
      <c r="B9" s="19" t="s">
        <v>17</v>
      </c>
      <c r="C9" s="11">
        <v>2.7839999999999998</v>
      </c>
      <c r="D9" s="11">
        <v>2.7170000000000001</v>
      </c>
      <c r="E9" s="11">
        <v>1</v>
      </c>
      <c r="F9" s="20">
        <v>-2866</v>
      </c>
      <c r="G9" s="20">
        <v>0</v>
      </c>
      <c r="H9" s="21">
        <v>45149</v>
      </c>
      <c r="I9" s="18" t="s">
        <v>19</v>
      </c>
      <c r="N9" s="23"/>
      <c r="O9" s="24"/>
    </row>
    <row r="10" spans="2:17" x14ac:dyDescent="0.25">
      <c r="B10" s="19" t="s">
        <v>17</v>
      </c>
      <c r="C10" s="11">
        <v>2.802</v>
      </c>
      <c r="D10" s="11">
        <v>2.7509999999999999</v>
      </c>
      <c r="E10" s="11">
        <v>1</v>
      </c>
      <c r="F10" s="20">
        <v>-506</v>
      </c>
      <c r="G10" s="20">
        <v>0</v>
      </c>
      <c r="H10" s="21">
        <v>45149</v>
      </c>
      <c r="I10" s="18" t="s">
        <v>19</v>
      </c>
      <c r="N10" s="1" t="s">
        <v>30</v>
      </c>
      <c r="O10" s="22">
        <f>(O13*P13+O14*P14+O15*P15+O16*P16+O17*P17+O18*P18)/SUM(P13:P18)</f>
        <v>3.3543999999999996</v>
      </c>
    </row>
    <row r="11" spans="2:17" x14ac:dyDescent="0.25">
      <c r="B11" s="19" t="s">
        <v>17</v>
      </c>
      <c r="C11" s="11">
        <v>2.7570000000000001</v>
      </c>
      <c r="D11" s="11">
        <v>2.7210000000000001</v>
      </c>
      <c r="E11" s="11">
        <v>1</v>
      </c>
      <c r="F11" s="19">
        <v>-358</v>
      </c>
      <c r="G11" s="19">
        <v>0</v>
      </c>
      <c r="H11" s="21">
        <v>45149</v>
      </c>
      <c r="I11" s="18" t="s">
        <v>19</v>
      </c>
    </row>
    <row r="12" spans="2:17" x14ac:dyDescent="0.25">
      <c r="B12" s="19" t="s">
        <v>17</v>
      </c>
      <c r="C12" s="11">
        <v>2.778</v>
      </c>
      <c r="D12" s="11">
        <v>2.7170000000000001</v>
      </c>
      <c r="E12" s="11">
        <v>1</v>
      </c>
      <c r="F12" s="20">
        <v>-2809</v>
      </c>
      <c r="G12" s="20">
        <v>0</v>
      </c>
      <c r="H12" s="21">
        <v>45149</v>
      </c>
      <c r="I12" s="18" t="s">
        <v>19</v>
      </c>
      <c r="N12" s="1" t="s">
        <v>16</v>
      </c>
      <c r="O12" s="1" t="s">
        <v>18</v>
      </c>
      <c r="P12" s="1" t="s">
        <v>20</v>
      </c>
      <c r="Q12" s="1"/>
    </row>
    <row r="13" spans="2:17" x14ac:dyDescent="0.25">
      <c r="B13" s="19" t="s">
        <v>17</v>
      </c>
      <c r="C13" s="11">
        <v>2.5649999999999999</v>
      </c>
      <c r="D13" s="11">
        <v>2.5459999999999998</v>
      </c>
      <c r="E13" s="11">
        <v>1</v>
      </c>
      <c r="F13" s="20">
        <v>-179</v>
      </c>
      <c r="G13" s="20">
        <v>0</v>
      </c>
      <c r="H13" s="21">
        <v>45156</v>
      </c>
      <c r="I13" s="18" t="s">
        <v>19</v>
      </c>
      <c r="N13" s="1" t="s">
        <v>29</v>
      </c>
      <c r="O13" s="11">
        <v>3.3</v>
      </c>
      <c r="P13" s="11">
        <v>2</v>
      </c>
      <c r="Q13" s="1"/>
    </row>
    <row r="14" spans="2:17" x14ac:dyDescent="0.25">
      <c r="B14" s="19" t="s">
        <v>17</v>
      </c>
      <c r="C14" s="11">
        <v>2.5910000000000002</v>
      </c>
      <c r="D14" s="11">
        <v>2.5920000000000001</v>
      </c>
      <c r="E14" s="11">
        <v>10</v>
      </c>
      <c r="F14" s="20">
        <v>-94</v>
      </c>
      <c r="G14" s="20">
        <v>0</v>
      </c>
      <c r="H14" s="21">
        <v>45160</v>
      </c>
      <c r="I14" s="18" t="s">
        <v>19</v>
      </c>
      <c r="N14" s="1" t="s">
        <v>29</v>
      </c>
      <c r="O14" s="11">
        <v>3.3450000000000002</v>
      </c>
      <c r="P14" s="11">
        <v>1</v>
      </c>
      <c r="Q14" s="1"/>
    </row>
    <row r="15" spans="2:17" x14ac:dyDescent="0.25">
      <c r="B15" s="19" t="s">
        <v>28</v>
      </c>
      <c r="C15" s="11">
        <v>3.0070000000000001</v>
      </c>
      <c r="D15" s="11">
        <v>2.9159999999999999</v>
      </c>
      <c r="E15" s="11">
        <v>1</v>
      </c>
      <c r="F15" s="20">
        <v>-1034</v>
      </c>
      <c r="G15" s="20">
        <v>0</v>
      </c>
      <c r="H15" s="21">
        <v>45190</v>
      </c>
      <c r="I15" s="18" t="s">
        <v>19</v>
      </c>
      <c r="N15" s="1" t="s">
        <v>29</v>
      </c>
      <c r="O15" s="11">
        <v>3.379</v>
      </c>
      <c r="P15" s="11">
        <v>1</v>
      </c>
      <c r="Q15" s="1"/>
    </row>
    <row r="16" spans="2:17" x14ac:dyDescent="0.25">
      <c r="B16" s="19" t="s">
        <v>28</v>
      </c>
      <c r="C16" s="11">
        <v>2.9670000000000001</v>
      </c>
      <c r="D16" s="11">
        <v>2.9159999999999999</v>
      </c>
      <c r="E16" s="11">
        <v>1</v>
      </c>
      <c r="F16" s="20">
        <v>-647</v>
      </c>
      <c r="G16" s="20">
        <v>0</v>
      </c>
      <c r="H16" s="21">
        <v>45190</v>
      </c>
      <c r="I16" s="18" t="s">
        <v>19</v>
      </c>
      <c r="N16" s="1" t="s">
        <v>29</v>
      </c>
      <c r="O16" s="11">
        <v>3.448</v>
      </c>
      <c r="P16" s="11">
        <v>1</v>
      </c>
      <c r="Q16" s="1"/>
    </row>
    <row r="17" spans="2:17" x14ac:dyDescent="0.25">
      <c r="B17" s="19" t="s">
        <v>28</v>
      </c>
      <c r="C17" s="11">
        <v>2.95</v>
      </c>
      <c r="D17" s="11">
        <v>2.9159999999999999</v>
      </c>
      <c r="E17" s="11">
        <v>1</v>
      </c>
      <c r="F17" s="20">
        <v>-483</v>
      </c>
      <c r="G17" s="20">
        <v>0</v>
      </c>
      <c r="H17" s="21">
        <v>45190</v>
      </c>
      <c r="I17" s="18" t="s">
        <v>19</v>
      </c>
      <c r="N17" s="1" t="s">
        <v>29</v>
      </c>
      <c r="O17" s="11"/>
      <c r="P17" s="11"/>
      <c r="Q17" s="1"/>
    </row>
    <row r="18" spans="2:17" x14ac:dyDescent="0.25">
      <c r="B18" s="19" t="s">
        <v>28</v>
      </c>
      <c r="C18" s="11">
        <v>2.94</v>
      </c>
      <c r="D18" s="11">
        <v>2.9159999999999999</v>
      </c>
      <c r="E18" s="11">
        <v>1</v>
      </c>
      <c r="F18" s="20">
        <v>-386</v>
      </c>
      <c r="G18" s="20">
        <v>0</v>
      </c>
      <c r="H18" s="21">
        <v>45190</v>
      </c>
      <c r="I18" s="18" t="s">
        <v>19</v>
      </c>
      <c r="N18" s="1" t="s">
        <v>29</v>
      </c>
      <c r="O18" s="11"/>
      <c r="P18" s="11"/>
      <c r="Q18" s="1"/>
    </row>
    <row r="19" spans="2:17" x14ac:dyDescent="0.25">
      <c r="B19" s="22" t="s">
        <v>28</v>
      </c>
      <c r="C19" s="11">
        <v>2.8570000000000002</v>
      </c>
      <c r="D19" s="11">
        <v>2.8580000000000001</v>
      </c>
      <c r="E19" s="11">
        <v>1</v>
      </c>
      <c r="F19" s="17">
        <f t="shared" ref="F19:F21" si="0">(($C$2-C19)*E19)*1000*$C$3</f>
        <v>1043.2799999999968</v>
      </c>
      <c r="G19" s="17">
        <f t="shared" ref="G19:G21" si="1">((D19-C19)*E19)*1000*$C$3</f>
        <v>9.6599999999989361</v>
      </c>
      <c r="H19" s="1"/>
    </row>
    <row r="20" spans="2:17" x14ac:dyDescent="0.25">
      <c r="B20" s="22" t="s">
        <v>28</v>
      </c>
      <c r="C20" s="11">
        <v>2.8650000000000002</v>
      </c>
      <c r="D20" s="11">
        <v>2.8660000000000001</v>
      </c>
      <c r="E20" s="11">
        <v>1</v>
      </c>
      <c r="F20" s="17">
        <f t="shared" si="0"/>
        <v>965.99999999999659</v>
      </c>
      <c r="G20" s="17">
        <f t="shared" si="1"/>
        <v>9.6599999999989361</v>
      </c>
      <c r="H20" s="1"/>
    </row>
    <row r="21" spans="2:17" x14ac:dyDescent="0.25">
      <c r="B21" s="22" t="s">
        <v>28</v>
      </c>
      <c r="C21" s="11">
        <v>2.8559999999999999</v>
      </c>
      <c r="D21" s="11">
        <v>2.8580000000000001</v>
      </c>
      <c r="E21" s="11">
        <v>1</v>
      </c>
      <c r="F21" s="17">
        <f t="shared" si="0"/>
        <v>1052.9399999999998</v>
      </c>
      <c r="G21" s="17">
        <f t="shared" si="1"/>
        <v>19.320000000002164</v>
      </c>
      <c r="H21" s="1"/>
    </row>
    <row r="22" spans="2:17" x14ac:dyDescent="0.25">
      <c r="B22" s="1"/>
      <c r="C22" s="11"/>
      <c r="D22" s="11"/>
      <c r="E22" s="11"/>
      <c r="F22" s="1"/>
      <c r="G22" s="1"/>
      <c r="H22" s="1"/>
    </row>
    <row r="23" spans="2:17" x14ac:dyDescent="0.25">
      <c r="B23" s="1"/>
      <c r="C23" s="11"/>
      <c r="D23" s="11"/>
      <c r="E23" s="11"/>
      <c r="F23" s="1"/>
      <c r="G23" s="1"/>
      <c r="H23" s="1"/>
    </row>
    <row r="24" spans="2:17" x14ac:dyDescent="0.25">
      <c r="B24" s="1"/>
      <c r="C24" s="11"/>
      <c r="D24" s="11"/>
      <c r="E24" s="11"/>
      <c r="F24" s="1"/>
      <c r="G24" s="1"/>
      <c r="H24" s="1"/>
    </row>
    <row r="25" spans="2:17" x14ac:dyDescent="0.25">
      <c r="B25" s="1"/>
      <c r="C25" s="11"/>
      <c r="D25" s="11"/>
      <c r="E25" s="11"/>
      <c r="F25" s="1"/>
      <c r="G25" s="1"/>
      <c r="H25" s="1"/>
    </row>
    <row r="26" spans="2:17" x14ac:dyDescent="0.25">
      <c r="B26" s="1"/>
      <c r="C26" s="11"/>
      <c r="D26" s="11"/>
      <c r="E26" s="11"/>
      <c r="F26" s="1"/>
      <c r="G26" s="1"/>
      <c r="H26" s="1"/>
    </row>
    <row r="27" spans="2:17" x14ac:dyDescent="0.25">
      <c r="B27" s="1"/>
      <c r="C27" s="11"/>
      <c r="D27" s="11"/>
      <c r="E27" s="11"/>
      <c r="F27" s="1"/>
      <c r="G27" s="1"/>
      <c r="H27" s="1"/>
    </row>
    <row r="28" spans="2:17" x14ac:dyDescent="0.25">
      <c r="B28" s="1"/>
      <c r="C28" s="11"/>
      <c r="D28" s="11"/>
      <c r="E28" s="11"/>
      <c r="F28" s="1"/>
      <c r="G28" s="1"/>
      <c r="H28" s="1"/>
    </row>
    <row r="29" spans="2:17" x14ac:dyDescent="0.25">
      <c r="B29" s="1"/>
      <c r="C29" s="11"/>
      <c r="D29" s="11"/>
      <c r="E29" s="11"/>
      <c r="F29" s="1"/>
      <c r="G29" s="1"/>
      <c r="H29" s="1"/>
    </row>
    <row r="30" spans="2:17" x14ac:dyDescent="0.25">
      <c r="B30" s="1"/>
      <c r="C30" s="11"/>
      <c r="D30" s="11"/>
      <c r="E30" s="11"/>
      <c r="F30" s="1"/>
      <c r="G30" s="1"/>
      <c r="H30" s="1"/>
    </row>
    <row r="31" spans="2:17" x14ac:dyDescent="0.25">
      <c r="B31" s="1"/>
      <c r="C31" s="11"/>
      <c r="D31" s="11"/>
      <c r="E31" s="11"/>
      <c r="F31" s="1"/>
      <c r="G31" s="1"/>
      <c r="H31" s="1"/>
    </row>
    <row r="32" spans="2:17" x14ac:dyDescent="0.25">
      <c r="B32" s="1"/>
      <c r="C32" s="11"/>
      <c r="D32" s="11"/>
      <c r="E32" s="11"/>
      <c r="F32" s="1"/>
      <c r="G32" s="1"/>
      <c r="H32" s="1"/>
    </row>
    <row r="33" spans="2:8" x14ac:dyDescent="0.25">
      <c r="B33" s="1"/>
      <c r="C33" s="11"/>
      <c r="D33" s="11"/>
      <c r="E33" s="11"/>
      <c r="F33" s="1"/>
      <c r="G33" s="1"/>
      <c r="H33" s="1"/>
    </row>
    <row r="34" spans="2:8" x14ac:dyDescent="0.25">
      <c r="B34" s="1"/>
      <c r="C34" s="11"/>
      <c r="D34" s="11"/>
      <c r="E34" s="11"/>
      <c r="F34" s="1"/>
      <c r="G34" s="1"/>
      <c r="H34" s="1"/>
    </row>
    <row r="35" spans="2:8" x14ac:dyDescent="0.25">
      <c r="B35" s="1"/>
      <c r="C35" s="11"/>
      <c r="D35" s="11"/>
      <c r="E35" s="11"/>
      <c r="F35" s="1"/>
      <c r="G35" s="1"/>
      <c r="H35" s="1"/>
    </row>
    <row r="36" spans="2:8" x14ac:dyDescent="0.25">
      <c r="B36" s="1"/>
      <c r="C36" s="11"/>
      <c r="D36" s="11"/>
      <c r="E36" s="11"/>
      <c r="F36" s="1"/>
      <c r="G36" s="1"/>
      <c r="H36" s="1"/>
    </row>
    <row r="37" spans="2:8" x14ac:dyDescent="0.25">
      <c r="B37" s="1"/>
      <c r="C37" s="11"/>
      <c r="D37" s="11"/>
      <c r="E37" s="11"/>
      <c r="F37" s="1"/>
      <c r="G37" s="1"/>
      <c r="H37" s="1"/>
    </row>
    <row r="38" spans="2:8" x14ac:dyDescent="0.25">
      <c r="B38" s="1"/>
      <c r="C38" s="11"/>
      <c r="D38" s="11"/>
      <c r="E38" s="11"/>
      <c r="F38" s="1"/>
      <c r="G38" s="1"/>
      <c r="H38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54"/>
  <sheetViews>
    <sheetView tabSelected="1" topLeftCell="B1" workbookViewId="0">
      <pane ySplit="7" topLeftCell="A8" activePane="bottomLeft" state="frozen"/>
      <selection pane="bottomLeft" activeCell="D4" sqref="D4"/>
    </sheetView>
  </sheetViews>
  <sheetFormatPr defaultRowHeight="15" x14ac:dyDescent="0.25"/>
  <cols>
    <col min="3" max="3" width="15.28515625" customWidth="1"/>
    <col min="5" max="5" width="10.5703125" customWidth="1"/>
    <col min="6" max="6" width="18.28515625" customWidth="1"/>
    <col min="8" max="8" width="13.7109375" customWidth="1"/>
    <col min="9" max="9" width="8.5703125" customWidth="1"/>
    <col min="10" max="10" width="11.5703125" customWidth="1"/>
    <col min="12" max="16" width="10.28515625" customWidth="1"/>
  </cols>
  <sheetData>
    <row r="3" spans="2:21" x14ac:dyDescent="0.25">
      <c r="B3" s="1" t="s">
        <v>0</v>
      </c>
      <c r="C3" s="1">
        <v>25000</v>
      </c>
    </row>
    <row r="4" spans="2:21" x14ac:dyDescent="0.25">
      <c r="B4" s="1" t="s">
        <v>85</v>
      </c>
      <c r="C4" s="31">
        <f>C3*1/100</f>
        <v>250</v>
      </c>
      <c r="D4" s="32"/>
    </row>
    <row r="6" spans="2:21" x14ac:dyDescent="0.25">
      <c r="L6" s="5" t="str">
        <f ca="1">TEXT(L7,"ддд")</f>
        <v>Пт</v>
      </c>
      <c r="M6" s="5" t="str">
        <f ca="1">TEXT(M7,"ддд")</f>
        <v>Сб</v>
      </c>
      <c r="N6" s="5" t="str">
        <f t="shared" ref="N6:P6" ca="1" si="0">TEXT(N7,"ддд")</f>
        <v>Вт</v>
      </c>
      <c r="O6" s="5" t="str">
        <f t="shared" ca="1" si="0"/>
        <v>Чт</v>
      </c>
      <c r="P6" s="5" t="str">
        <f t="shared" ca="1" si="0"/>
        <v>Ср</v>
      </c>
    </row>
    <row r="7" spans="2:21" x14ac:dyDescent="0.25">
      <c r="B7" s="1" t="s">
        <v>31</v>
      </c>
      <c r="C7" s="1" t="s">
        <v>32</v>
      </c>
      <c r="D7" s="25" t="s">
        <v>33</v>
      </c>
      <c r="E7" s="1" t="s">
        <v>1</v>
      </c>
      <c r="F7" s="1" t="s">
        <v>34</v>
      </c>
      <c r="G7" s="26" t="s">
        <v>35</v>
      </c>
      <c r="H7" s="22" t="s">
        <v>47</v>
      </c>
      <c r="I7" s="24"/>
      <c r="J7" s="22" t="s">
        <v>79</v>
      </c>
      <c r="K7" s="1" t="s">
        <v>78</v>
      </c>
      <c r="L7" s="1" t="str">
        <f ca="1">TEXT(TODAY()-5, "ГГГГ-ММ-ДД")</f>
        <v>2026-04-24</v>
      </c>
      <c r="M7" s="1" t="str">
        <f ca="1">TEXT(TODAY()-4, "ГГГГ-ММ-ДД")</f>
        <v>2026-04-25</v>
      </c>
      <c r="N7" s="1" t="str">
        <f ca="1">TEXT(TODAY()-1, "ГГГГ-ММ-ДД")</f>
        <v>2026-04-28</v>
      </c>
      <c r="O7" s="1" t="str">
        <f ca="1">TEXT(TODAY()-6, "ГГГГ-ММ-ДД")</f>
        <v>2026-04-23</v>
      </c>
      <c r="P7" s="1" t="str">
        <f ca="1">TEXT(TODAY()-7, "ГГГГ-ММ-ДД")</f>
        <v>2026-04-22</v>
      </c>
      <c r="R7" s="28">
        <v>45566</v>
      </c>
      <c r="S7" s="28">
        <v>45597</v>
      </c>
      <c r="T7" s="28">
        <v>45627</v>
      </c>
      <c r="U7" s="28">
        <v>45658</v>
      </c>
    </row>
    <row r="8" spans="2:21" x14ac:dyDescent="0.25">
      <c r="B8" s="22" t="s">
        <v>46</v>
      </c>
      <c r="C8" s="22">
        <v>0.35</v>
      </c>
      <c r="D8" s="25">
        <f t="shared" ref="D8:D29" si="1">C8/10</f>
        <v>3.4999999999999996E-2</v>
      </c>
      <c r="E8" s="22">
        <v>1E-3</v>
      </c>
      <c r="F8" s="22">
        <v>0.1</v>
      </c>
      <c r="G8" s="26">
        <f t="shared" ref="G8:G29" si="2">ROUND($C$4/(D8/E8*F8),0)</f>
        <v>71</v>
      </c>
      <c r="H8" s="22">
        <f t="shared" ref="H8:H20" si="3">ROUND(D8/E8,0)</f>
        <v>35</v>
      </c>
      <c r="I8" s="23"/>
      <c r="J8" s="30">
        <v>46135</v>
      </c>
      <c r="K8">
        <f t="shared" ref="K8:K13" ca="1" si="4">ROUND(AVERAGE(L8:P8),2)</f>
        <v>10350.68</v>
      </c>
      <c r="L8">
        <f t="shared" ref="L8:L13" ca="1" si="5">VALUE(SUBSTITUTE(_xlfn.FILTERXML(_xlfn.WEBSERVICE("https://iss.moex.com/iss/engines/stock/markets/shares/securities/"&amp;B8&amp;"/candles.xml?from="&amp;$L$7&amp;"&amp;till="&amp;$L$7&amp;"&amp;interval=24"),"//document//data//rows//row/@high"),".",","))-VALUE(SUBSTITUTE(_xlfn.FILTERXML(_xlfn.WEBSERVICE("https://iss.moex.com/iss/engines/stock/markets/shares/securities/"&amp;B8&amp;"/candles.xml?from="&amp;$L$7&amp;"&amp;till="&amp;$L$7&amp;"&amp;interval=24"),"//document//data//rows//row/@low"),".",","))</f>
        <v>0.54600000000000115</v>
      </c>
      <c r="M8">
        <f t="shared" ref="M8:M13" ca="1" si="6">VALUE(SUBSTITUTE(_xlfn.FILTERXML(_xlfn.WEBSERVICE("https://iss.moex.com/iss/engines/stock/markets/shares/securities/"&amp;B8&amp;"/candles.xml?from="&amp;$M$7&amp;"&amp;till="&amp;$M$7&amp;"&amp;interval=24"),"//document//data//rows//row/@high"),".",","))-VALUE(SUBSTITUTE(_xlfn.FILTERXML(_xlfn.WEBSERVICE("https://iss.moex.com/iss/engines/stock/markets/shares/securities/"&amp;B8&amp;"/candles.xml?from="&amp;$M$7&amp;"&amp;till="&amp;$M$7&amp;"&amp;interval=24"),"//document//data//rows//row/@low"),".",","))</f>
        <v>3.5000000000000142E-2</v>
      </c>
      <c r="N8">
        <f ca="1">VALUE(SUBSTITUTE(_xlfn.FILTERXML(_xlfn.WEBSERVICE("https://iss.moex.com/iss/engines/stock/markets/shares/securities/"&amp;B8&amp;"/candles.xml?from="&amp;$N$7&amp;"&amp;till="&amp;$N$7&amp;"&amp;interval=24"),"//document//data//rows//row/@high"),".",","))-VALUE(SUBSTITUTE(_xlfn.FILTERXML(_xlfn.WEBSERVICE("https://iss.moex.com/iss/engines/stock/markets/shares/securities/"&amp;B8&amp;"/candles.xml?from="&amp;$N$7&amp;"&amp;till="&amp;$N$7&amp;"&amp;interval=24"),"//document//data//rows//row/@low"),".",","))</f>
        <v>34262.447</v>
      </c>
      <c r="O8">
        <f ca="1">VALUE(SUBSTITUTE(_xlfn.FILTERXML(_xlfn.WEBSERVICE("https://iss.moex.com/iss/engines/stock/markets/shares/securities/"&amp;B8&amp;"/candles.xml?from="&amp;$O$7&amp;"&amp;till="&amp;$O$7&amp;"&amp;interval=24"),"//document//data//rows//row/@high"),".",","))-VALUE(SUBSTITUTE(_xlfn.FILTERXML(_xlfn.WEBSERVICE("https://iss.moex.com/iss/engines/stock/markets/shares/securities/"&amp;B8&amp;"/candles.xml?from="&amp;$O$7&amp;"&amp;till="&amp;$O$7&amp;"&amp;interval=24"),"//document//data//rows//row/@low"),".",","))</f>
        <v>0.29299999999999926</v>
      </c>
      <c r="P8">
        <f ca="1">VALUE(SUBSTITUTE(_xlfn.FILTERXML(_xlfn.WEBSERVICE("https://iss.moex.com/iss/engines/stock/markets/shares/securities/"&amp;B8&amp;"/candles.xml?from="&amp;$P$7&amp;"&amp;till="&amp;$P$7&amp;"&amp;interval=24"),"//document//data//rows//row/@high"),".",","))-VALUE(SUBSTITUTE(_xlfn.FILTERXML(_xlfn.WEBSERVICE("https://iss.moex.com/iss/engines/stock/markets/shares/securities/"&amp;B8&amp;"/candles.xml?from="&amp;$P$7&amp;"&amp;till="&amp;$P$7&amp;"&amp;interval=24"),"//document//data//rows//row/@low"),".",","))</f>
        <v>17490.069</v>
      </c>
      <c r="R8" s="29">
        <v>54</v>
      </c>
      <c r="S8" s="25">
        <v>-78</v>
      </c>
      <c r="T8" s="25">
        <v>-30</v>
      </c>
      <c r="U8" s="1"/>
    </row>
    <row r="9" spans="2:21" x14ac:dyDescent="0.25">
      <c r="B9" s="1" t="s">
        <v>40</v>
      </c>
      <c r="C9" s="1">
        <v>1.24</v>
      </c>
      <c r="D9" s="25">
        <f t="shared" si="1"/>
        <v>0.124</v>
      </c>
      <c r="E9" s="1">
        <v>0.01</v>
      </c>
      <c r="F9" s="1">
        <v>0.1</v>
      </c>
      <c r="G9" s="26">
        <f t="shared" si="2"/>
        <v>202</v>
      </c>
      <c r="H9" s="22">
        <f t="shared" si="3"/>
        <v>12</v>
      </c>
      <c r="I9" s="23"/>
      <c r="J9" s="30">
        <v>46062</v>
      </c>
      <c r="K9">
        <f t="shared" ca="1" si="4"/>
        <v>0.84</v>
      </c>
      <c r="L9">
        <f t="shared" ca="1" si="5"/>
        <v>1.5400000000000063</v>
      </c>
      <c r="M9">
        <f t="shared" ca="1" si="6"/>
        <v>0.21999999999999886</v>
      </c>
      <c r="N9">
        <f t="shared" ref="N9:N51" ca="1" si="7">VALUE(SUBSTITUTE(_xlfn.FILTERXML(_xlfn.WEBSERVICE("https://iss.moex.com/iss/engines/stock/markets/shares/securities/"&amp;B9&amp;"/candles.xml?from="&amp;$N$7&amp;"&amp;till="&amp;$N$7&amp;"&amp;interval=24"),"//document//data//rows//row/@high"),".",","))-VALUE(SUBSTITUTE(_xlfn.FILTERXML(_xlfn.WEBSERVICE("https://iss.moex.com/iss/engines/stock/markets/shares/securities/"&amp;B9&amp;"/candles.xml?from="&amp;$N$7&amp;"&amp;till="&amp;$N$7&amp;"&amp;interval=24"),"//document//data//rows//row/@low"),".",","))</f>
        <v>0.78000000000000114</v>
      </c>
      <c r="O9">
        <f t="shared" ref="O9:O51" ca="1" si="8">VALUE(SUBSTITUTE(_xlfn.FILTERXML(_xlfn.WEBSERVICE("https://iss.moex.com/iss/engines/stock/markets/shares/securities/"&amp;B9&amp;"/candles.xml?from="&amp;$O$7&amp;"&amp;till="&amp;$O$7&amp;"&amp;interval=24"),"//document//data//rows//row/@high"),".",","))-VALUE(SUBSTITUTE(_xlfn.FILTERXML(_xlfn.WEBSERVICE("https://iss.moex.com/iss/engines/stock/markets/shares/securities/"&amp;B9&amp;"/candles.xml?from="&amp;$O$7&amp;"&amp;till="&amp;$O$7&amp;"&amp;interval=24"),"//document//data//rows//row/@low"),".",","))</f>
        <v>1.009999999999998</v>
      </c>
      <c r="P9">
        <f t="shared" ref="P9:P51" ca="1" si="9">VALUE(SUBSTITUTE(_xlfn.FILTERXML(_xlfn.WEBSERVICE("https://iss.moex.com/iss/engines/stock/markets/shares/securities/"&amp;B9&amp;"/candles.xml?from="&amp;$P$7&amp;"&amp;till="&amp;$P$7&amp;"&amp;interval=24"),"//document//data//rows//row/@high"),".",","))-VALUE(SUBSTITUTE(_xlfn.FILTERXML(_xlfn.WEBSERVICE("https://iss.moex.com/iss/engines/stock/markets/shares/securities/"&amp;B9&amp;"/candles.xml?from="&amp;$P$7&amp;"&amp;till="&amp;$P$7&amp;"&amp;interval=24"),"//document//data//rows//row/@low"),".",","))</f>
        <v>0.66000000000000369</v>
      </c>
      <c r="R9" s="25">
        <v>-30</v>
      </c>
      <c r="S9" s="25">
        <v>-106</v>
      </c>
      <c r="T9" s="25">
        <v>-30</v>
      </c>
      <c r="U9" s="1"/>
    </row>
    <row r="10" spans="2:21" x14ac:dyDescent="0.25">
      <c r="B10" s="22" t="s">
        <v>57</v>
      </c>
      <c r="C10" s="22">
        <v>1.2</v>
      </c>
      <c r="D10" s="25">
        <f>C10/10</f>
        <v>0.12</v>
      </c>
      <c r="E10" s="22">
        <v>0.01</v>
      </c>
      <c r="F10" s="22">
        <v>0.1</v>
      </c>
      <c r="G10" s="26">
        <f>ROUND($C$4/(D10/E10*F10),0)</f>
        <v>208</v>
      </c>
      <c r="H10" s="22">
        <f t="shared" si="3"/>
        <v>12</v>
      </c>
      <c r="I10" s="24"/>
      <c r="K10">
        <f t="shared" ca="1" si="4"/>
        <v>-18467.87</v>
      </c>
      <c r="L10">
        <f t="shared" ca="1" si="5"/>
        <v>1.5300000000000011</v>
      </c>
      <c r="M10">
        <f t="shared" ca="1" si="6"/>
        <v>-46201.98</v>
      </c>
      <c r="N10">
        <f t="shared" ca="1" si="7"/>
        <v>-46140.38</v>
      </c>
      <c r="O10">
        <f t="shared" ca="1" si="8"/>
        <v>0.55000000000000071</v>
      </c>
      <c r="P10">
        <f t="shared" ca="1" si="9"/>
        <v>0.92999999999999972</v>
      </c>
      <c r="R10" s="29">
        <v>39</v>
      </c>
      <c r="S10" s="29">
        <v>137</v>
      </c>
      <c r="T10" s="25">
        <v>-39</v>
      </c>
      <c r="U10" s="1"/>
    </row>
    <row r="11" spans="2:21" x14ac:dyDescent="0.25">
      <c r="B11" s="22" t="s">
        <v>97</v>
      </c>
      <c r="C11" s="22">
        <v>7.9</v>
      </c>
      <c r="D11" s="25">
        <f>C11/10</f>
        <v>0.79</v>
      </c>
      <c r="E11" s="22">
        <v>0.05</v>
      </c>
      <c r="F11" s="22">
        <v>0.05</v>
      </c>
      <c r="G11" s="26">
        <f>ROUND($C$4/(D11/E11*F11),0)</f>
        <v>316</v>
      </c>
      <c r="H11" s="22">
        <f t="shared" si="3"/>
        <v>16</v>
      </c>
      <c r="I11" s="24"/>
      <c r="J11" s="30">
        <v>46140</v>
      </c>
      <c r="K11">
        <f t="shared" ca="1" si="4"/>
        <v>5.95</v>
      </c>
      <c r="L11">
        <f t="shared" ca="1" si="5"/>
        <v>8.5999999999999659</v>
      </c>
      <c r="M11">
        <f t="shared" ca="1" si="6"/>
        <v>1.3999999999999773</v>
      </c>
      <c r="N11">
        <f t="shared" ca="1" si="7"/>
        <v>12.100000000000023</v>
      </c>
      <c r="O11">
        <f t="shared" ca="1" si="8"/>
        <v>4.25</v>
      </c>
      <c r="P11">
        <f t="shared" ca="1" si="9"/>
        <v>3.3999999999999773</v>
      </c>
      <c r="R11" s="29"/>
      <c r="S11" s="29"/>
      <c r="T11" s="25"/>
      <c r="U11" s="1"/>
    </row>
    <row r="12" spans="2:21" x14ac:dyDescent="0.25">
      <c r="B12" s="22" t="s">
        <v>83</v>
      </c>
      <c r="C12" s="22">
        <v>8.77</v>
      </c>
      <c r="D12" s="25">
        <f>C12/10</f>
        <v>0.877</v>
      </c>
      <c r="E12" s="22">
        <v>0.01</v>
      </c>
      <c r="F12" s="22">
        <v>0.1</v>
      </c>
      <c r="G12" s="26">
        <f>ROUND($C$4/(D12/E12*F12),0)</f>
        <v>29</v>
      </c>
      <c r="H12" s="22">
        <f t="shared" si="3"/>
        <v>88</v>
      </c>
      <c r="I12" s="24"/>
      <c r="J12" s="30">
        <v>46070</v>
      </c>
      <c r="K12">
        <f t="shared" ca="1" si="4"/>
        <v>2.6</v>
      </c>
      <c r="L12">
        <f t="shared" ca="1" si="5"/>
        <v>3.5</v>
      </c>
      <c r="M12">
        <f t="shared" ca="1" si="6"/>
        <v>0.92000000000001592</v>
      </c>
      <c r="N12">
        <f t="shared" ca="1" si="7"/>
        <v>3.4900000000000091</v>
      </c>
      <c r="O12">
        <f t="shared" ca="1" si="8"/>
        <v>2.8799999999999955</v>
      </c>
      <c r="P12">
        <f t="shared" ca="1" si="9"/>
        <v>2.2300000000000182</v>
      </c>
      <c r="R12" s="29"/>
      <c r="S12" s="29"/>
      <c r="T12" s="25"/>
      <c r="U12" s="1"/>
    </row>
    <row r="13" spans="2:21" x14ac:dyDescent="0.25">
      <c r="B13" s="22" t="s">
        <v>84</v>
      </c>
      <c r="C13" s="24">
        <v>2.83</v>
      </c>
      <c r="D13" s="25">
        <f>C13/10</f>
        <v>0.28300000000000003</v>
      </c>
      <c r="E13" s="22">
        <v>0.05</v>
      </c>
      <c r="F13" s="22">
        <v>5</v>
      </c>
      <c r="G13" s="26">
        <f>ROUND($C$4/(D13/E13*F13),0)</f>
        <v>9</v>
      </c>
      <c r="H13" s="22">
        <f t="shared" si="3"/>
        <v>6</v>
      </c>
      <c r="I13" s="24"/>
      <c r="J13" s="30">
        <v>46071</v>
      </c>
      <c r="K13" s="24">
        <f t="shared" ca="1" si="4"/>
        <v>1.27</v>
      </c>
      <c r="L13" s="24">
        <f t="shared" ca="1" si="5"/>
        <v>1.2000000000000028</v>
      </c>
      <c r="M13" s="24">
        <f t="shared" ca="1" si="6"/>
        <v>0.54999999999999716</v>
      </c>
      <c r="N13" s="24">
        <f t="shared" ca="1" si="7"/>
        <v>2.5500000000000043</v>
      </c>
      <c r="O13" s="24">
        <f t="shared" ca="1" si="8"/>
        <v>1.0499999999999972</v>
      </c>
      <c r="P13" s="24">
        <f t="shared" ca="1" si="9"/>
        <v>1</v>
      </c>
      <c r="R13" s="29"/>
      <c r="S13" s="29"/>
      <c r="T13" s="25"/>
      <c r="U13" s="1"/>
    </row>
    <row r="14" spans="2:21" x14ac:dyDescent="0.25">
      <c r="B14" s="1" t="s">
        <v>43</v>
      </c>
      <c r="C14" s="1">
        <v>50</v>
      </c>
      <c r="D14" s="25">
        <f t="shared" si="1"/>
        <v>5</v>
      </c>
      <c r="E14" s="1">
        <v>0.2</v>
      </c>
      <c r="F14" s="1">
        <v>0.2</v>
      </c>
      <c r="G14" s="26">
        <f t="shared" si="2"/>
        <v>50</v>
      </c>
      <c r="H14" s="22">
        <f t="shared" si="3"/>
        <v>25</v>
      </c>
      <c r="I14" s="23"/>
      <c r="J14" s="30">
        <v>46135</v>
      </c>
      <c r="K14">
        <f t="shared" ref="K14:K51" ca="1" si="10">ROUND(AVERAGE(L14:P14),2)</f>
        <v>20.84</v>
      </c>
      <c r="L14">
        <f t="shared" ref="L14:L51" ca="1" si="11">VALUE(SUBSTITUTE(_xlfn.FILTERXML(_xlfn.WEBSERVICE("https://iss.moex.com/iss/engines/stock/markets/shares/securities/"&amp;B14&amp;"/candles.xml?from="&amp;$L$7&amp;"&amp;till="&amp;$L$7&amp;"&amp;interval=24"),"//document//data//rows//row/@high"),".",","))-VALUE(SUBSTITUTE(_xlfn.FILTERXML(_xlfn.WEBSERVICE("https://iss.moex.com/iss/engines/stock/markets/shares/securities/"&amp;B14&amp;"/candles.xml?from="&amp;$L$7&amp;"&amp;till="&amp;$L$7&amp;"&amp;interval=24"),"//document//data//rows//row/@low"),".",","))</f>
        <v>32.599999999999909</v>
      </c>
      <c r="M14">
        <f t="shared" ref="M14:M51" ca="1" si="12">VALUE(SUBSTITUTE(_xlfn.FILTERXML(_xlfn.WEBSERVICE("https://iss.moex.com/iss/engines/stock/markets/shares/securities/"&amp;B14&amp;"/candles.xml?from="&amp;$M$7&amp;"&amp;till="&amp;$M$7&amp;"&amp;interval=24"),"//document//data//rows//row/@high"),".",","))-VALUE(SUBSTITUTE(_xlfn.FILTERXML(_xlfn.WEBSERVICE("https://iss.moex.com/iss/engines/stock/markets/shares/securities/"&amp;B14&amp;"/candles.xml?from="&amp;$M$7&amp;"&amp;till="&amp;$M$7&amp;"&amp;interval=24"),"//document//data//rows//row/@low"),".",","))</f>
        <v>3</v>
      </c>
      <c r="N14">
        <f t="shared" ca="1" si="7"/>
        <v>21.600000000000023</v>
      </c>
      <c r="O14">
        <f t="shared" ca="1" si="8"/>
        <v>16.600000000000023</v>
      </c>
      <c r="P14">
        <f t="shared" ca="1" si="9"/>
        <v>30.399999999999977</v>
      </c>
      <c r="R14" s="29">
        <v>80</v>
      </c>
      <c r="S14" s="25">
        <v>-6</v>
      </c>
      <c r="T14" s="29">
        <v>12</v>
      </c>
      <c r="U14" s="1"/>
    </row>
    <row r="15" spans="2:21" x14ac:dyDescent="0.25">
      <c r="B15" s="22" t="s">
        <v>68</v>
      </c>
      <c r="C15" s="22">
        <v>3.22</v>
      </c>
      <c r="D15" s="25">
        <f t="shared" ref="D15:D21" si="13">C15/10</f>
        <v>0.32200000000000001</v>
      </c>
      <c r="E15" s="22">
        <v>0.01</v>
      </c>
      <c r="F15" s="22">
        <v>0.1</v>
      </c>
      <c r="G15" s="26">
        <f t="shared" ref="G15:G21" si="14">ROUND($C$4/(D15/E15*F15),0)</f>
        <v>78</v>
      </c>
      <c r="H15" s="22">
        <f t="shared" si="3"/>
        <v>32</v>
      </c>
      <c r="I15" s="24"/>
      <c r="K15">
        <f t="shared" ca="1" si="10"/>
        <v>1.62</v>
      </c>
      <c r="L15">
        <f t="shared" ca="1" si="11"/>
        <v>2.3900000000000006</v>
      </c>
      <c r="M15">
        <f t="shared" ca="1" si="12"/>
        <v>0.59000000000000341</v>
      </c>
      <c r="N15">
        <f t="shared" ca="1" si="7"/>
        <v>2.6400000000000006</v>
      </c>
      <c r="O15">
        <f t="shared" ca="1" si="8"/>
        <v>1.1099999999999994</v>
      </c>
      <c r="P15">
        <f t="shared" ca="1" si="9"/>
        <v>1.3900000000000006</v>
      </c>
      <c r="R15" s="29">
        <v>27</v>
      </c>
      <c r="S15" s="25">
        <v>-172</v>
      </c>
      <c r="T15" s="1"/>
      <c r="U15" s="1"/>
    </row>
    <row r="16" spans="2:21" x14ac:dyDescent="0.25">
      <c r="B16" s="22" t="s">
        <v>50</v>
      </c>
      <c r="C16" s="22">
        <v>5.4</v>
      </c>
      <c r="D16" s="25">
        <f t="shared" si="13"/>
        <v>0.54</v>
      </c>
      <c r="E16" s="22">
        <v>0.05</v>
      </c>
      <c r="F16" s="22">
        <v>0.05</v>
      </c>
      <c r="G16" s="26">
        <f t="shared" si="14"/>
        <v>463</v>
      </c>
      <c r="H16" s="22">
        <f t="shared" si="3"/>
        <v>11</v>
      </c>
      <c r="I16" s="23"/>
      <c r="K16">
        <f t="shared" ca="1" si="10"/>
        <v>8.64</v>
      </c>
      <c r="L16">
        <f t="shared" ca="1" si="11"/>
        <v>10.599999999999994</v>
      </c>
      <c r="M16">
        <f t="shared" ca="1" si="12"/>
        <v>2.2000000000000028</v>
      </c>
      <c r="N16">
        <f t="shared" ca="1" si="7"/>
        <v>7.2000000000000028</v>
      </c>
      <c r="O16">
        <f t="shared" ca="1" si="8"/>
        <v>8.4000000000000057</v>
      </c>
      <c r="P16">
        <f t="shared" ca="1" si="9"/>
        <v>14.799999999999997</v>
      </c>
      <c r="R16" s="1"/>
      <c r="S16" s="1"/>
      <c r="T16" s="1"/>
      <c r="U16" s="1"/>
    </row>
    <row r="17" spans="2:21" x14ac:dyDescent="0.25">
      <c r="B17" s="22" t="s">
        <v>64</v>
      </c>
      <c r="C17" s="22">
        <v>1.8</v>
      </c>
      <c r="D17" s="25">
        <f t="shared" si="13"/>
        <v>0.18</v>
      </c>
      <c r="E17" s="22">
        <v>0.01</v>
      </c>
      <c r="F17" s="22">
        <v>0.1</v>
      </c>
      <c r="G17" s="26">
        <f t="shared" si="14"/>
        <v>139</v>
      </c>
      <c r="H17" s="22">
        <f t="shared" si="3"/>
        <v>18</v>
      </c>
      <c r="I17" s="24"/>
      <c r="J17" s="30">
        <v>46133</v>
      </c>
      <c r="K17">
        <f t="shared" ca="1" si="10"/>
        <v>1.87</v>
      </c>
      <c r="L17">
        <f t="shared" ca="1" si="11"/>
        <v>2.5499999999999972</v>
      </c>
      <c r="M17">
        <f t="shared" ca="1" si="12"/>
        <v>0.42999999999999261</v>
      </c>
      <c r="N17">
        <f t="shared" ca="1" si="7"/>
        <v>4.0600000000000023</v>
      </c>
      <c r="O17">
        <f t="shared" ca="1" si="8"/>
        <v>1.0799999999999983</v>
      </c>
      <c r="P17">
        <f t="shared" ca="1" si="9"/>
        <v>1.2099999999999937</v>
      </c>
      <c r="R17" s="25">
        <v>-2</v>
      </c>
      <c r="S17" s="25">
        <v>-117</v>
      </c>
      <c r="T17" s="29">
        <v>88</v>
      </c>
      <c r="U17" s="1"/>
    </row>
    <row r="18" spans="2:21" x14ac:dyDescent="0.25">
      <c r="B18" s="22" t="s">
        <v>82</v>
      </c>
      <c r="C18" s="22">
        <v>1.8600000000000001E-3</v>
      </c>
      <c r="D18" s="25">
        <f t="shared" si="13"/>
        <v>1.8600000000000002E-4</v>
      </c>
      <c r="E18" s="22">
        <v>2.0000000000000002E-5</v>
      </c>
      <c r="F18" s="22">
        <v>0.2</v>
      </c>
      <c r="G18" s="26">
        <f t="shared" si="14"/>
        <v>134</v>
      </c>
      <c r="H18" s="22">
        <f t="shared" si="3"/>
        <v>9</v>
      </c>
      <c r="I18" s="24"/>
      <c r="J18" s="30">
        <v>46062</v>
      </c>
      <c r="K18">
        <f ca="1">ROUND(AVERAGE(L18:P18),5)</f>
        <v>1.9E-3</v>
      </c>
      <c r="L18">
        <f t="shared" ca="1" si="11"/>
        <v>2.1199999999999969E-3</v>
      </c>
      <c r="M18">
        <f t="shared" ca="1" si="12"/>
        <v>4.200000000000037E-4</v>
      </c>
      <c r="N18">
        <f t="shared" ca="1" si="7"/>
        <v>2.9600000000000043E-3</v>
      </c>
      <c r="O18">
        <f t="shared" ca="1" si="8"/>
        <v>2.0000000000000018E-3</v>
      </c>
      <c r="P18">
        <f t="shared" ca="1" si="9"/>
        <v>2.0000000000000018E-3</v>
      </c>
      <c r="R18" s="25"/>
      <c r="S18" s="25"/>
      <c r="T18" s="29"/>
      <c r="U18" s="1"/>
    </row>
    <row r="19" spans="2:21" x14ac:dyDescent="0.25">
      <c r="B19" s="22" t="s">
        <v>56</v>
      </c>
      <c r="C19" s="22">
        <v>4.4000000000000004</v>
      </c>
      <c r="D19" s="25">
        <f t="shared" si="13"/>
        <v>0.44000000000000006</v>
      </c>
      <c r="E19" s="22">
        <v>0.02</v>
      </c>
      <c r="F19" s="22">
        <v>0.2</v>
      </c>
      <c r="G19" s="26">
        <f t="shared" si="14"/>
        <v>57</v>
      </c>
      <c r="H19" s="22">
        <f t="shared" si="3"/>
        <v>22</v>
      </c>
      <c r="I19" s="24"/>
      <c r="J19" s="30">
        <v>46133</v>
      </c>
      <c r="K19">
        <f t="shared" ca="1" si="10"/>
        <v>2.79</v>
      </c>
      <c r="L19">
        <f t="shared" ca="1" si="11"/>
        <v>3.3799999999999955</v>
      </c>
      <c r="M19">
        <f t="shared" ca="1" si="12"/>
        <v>1.2400000000000091</v>
      </c>
      <c r="N19">
        <f t="shared" ca="1" si="7"/>
        <v>3.2400000000000091</v>
      </c>
      <c r="O19">
        <f t="shared" ca="1" si="8"/>
        <v>2.3600000000000136</v>
      </c>
      <c r="P19">
        <f t="shared" ca="1" si="9"/>
        <v>3.7199999999999989</v>
      </c>
      <c r="R19" s="25">
        <v>-211</v>
      </c>
      <c r="S19" s="25">
        <v>-701</v>
      </c>
      <c r="T19" s="1"/>
      <c r="U19" s="1"/>
    </row>
    <row r="20" spans="2:21" x14ac:dyDescent="0.25">
      <c r="B20" s="22" t="s">
        <v>51</v>
      </c>
      <c r="C20" s="22">
        <v>7.85E-2</v>
      </c>
      <c r="D20" s="25">
        <f t="shared" si="13"/>
        <v>7.8499999999999993E-3</v>
      </c>
      <c r="E20" s="22">
        <v>5.0000000000000001E-4</v>
      </c>
      <c r="F20" s="22">
        <v>0.05</v>
      </c>
      <c r="G20" s="26">
        <f t="shared" si="14"/>
        <v>318</v>
      </c>
      <c r="H20" s="22">
        <f t="shared" si="3"/>
        <v>16</v>
      </c>
      <c r="I20" s="24"/>
      <c r="K20">
        <f t="shared" ca="1" si="10"/>
        <v>127931.33</v>
      </c>
      <c r="L20">
        <f t="shared" ca="1" si="11"/>
        <v>227546</v>
      </c>
      <c r="M20">
        <f t="shared" ca="1" si="12"/>
        <v>199115.76699999999</v>
      </c>
      <c r="N20">
        <f t="shared" ca="1" si="7"/>
        <v>44982.854500000001</v>
      </c>
      <c r="O20">
        <f t="shared" ca="1" si="8"/>
        <v>168012</v>
      </c>
      <c r="P20">
        <f t="shared" ca="1" si="9"/>
        <v>3.1000000000000139E-2</v>
      </c>
      <c r="R20" s="1"/>
      <c r="S20" s="25">
        <v>-488</v>
      </c>
      <c r="T20" s="1"/>
      <c r="U20" s="1"/>
    </row>
    <row r="21" spans="2:21" x14ac:dyDescent="0.25">
      <c r="B21" s="22" t="s">
        <v>55</v>
      </c>
      <c r="C21" s="22">
        <v>86.3</v>
      </c>
      <c r="D21" s="25">
        <f t="shared" si="13"/>
        <v>8.629999999999999</v>
      </c>
      <c r="E21" s="22">
        <v>0.5</v>
      </c>
      <c r="F21" s="22">
        <v>0.5</v>
      </c>
      <c r="G21" s="26">
        <f t="shared" si="14"/>
        <v>29</v>
      </c>
      <c r="H21" s="22">
        <f t="shared" ref="H21:H45" si="15">ROUND(D21/E21,0)</f>
        <v>17</v>
      </c>
      <c r="I21" s="24"/>
      <c r="J21" s="30">
        <v>46133</v>
      </c>
      <c r="K21">
        <f t="shared" ca="1" si="10"/>
        <v>67.400000000000006</v>
      </c>
      <c r="L21">
        <f t="shared" ca="1" si="11"/>
        <v>118.5</v>
      </c>
      <c r="M21">
        <f t="shared" ca="1" si="12"/>
        <v>27.5</v>
      </c>
      <c r="N21">
        <f t="shared" ca="1" si="7"/>
        <v>83</v>
      </c>
      <c r="O21">
        <f t="shared" ca="1" si="8"/>
        <v>67.5</v>
      </c>
      <c r="P21">
        <f t="shared" ca="1" si="9"/>
        <v>40.5</v>
      </c>
      <c r="R21" s="25">
        <v>-741</v>
      </c>
      <c r="S21" s="25">
        <v>-475</v>
      </c>
      <c r="T21" s="29">
        <v>34</v>
      </c>
      <c r="U21" s="1"/>
    </row>
    <row r="22" spans="2:21" x14ac:dyDescent="0.25">
      <c r="B22" s="1" t="s">
        <v>38</v>
      </c>
      <c r="C22">
        <v>1.05</v>
      </c>
      <c r="D22" s="25">
        <f t="shared" si="1"/>
        <v>0.10500000000000001</v>
      </c>
      <c r="E22" s="1">
        <v>5.0000000000000001E-3</v>
      </c>
      <c r="F22" s="1">
        <v>0.05</v>
      </c>
      <c r="G22" s="26">
        <f t="shared" si="2"/>
        <v>238</v>
      </c>
      <c r="H22" s="22">
        <f t="shared" si="15"/>
        <v>21</v>
      </c>
      <c r="I22" s="23"/>
      <c r="J22" s="30">
        <v>46133</v>
      </c>
      <c r="K22">
        <f t="shared" ca="1" si="10"/>
        <v>0.84</v>
      </c>
      <c r="L22">
        <f t="shared" ca="1" si="11"/>
        <v>1.4500000000000028</v>
      </c>
      <c r="M22">
        <f t="shared" ca="1" si="12"/>
        <v>0.28000000000000114</v>
      </c>
      <c r="N22">
        <f t="shared" ca="1" si="7"/>
        <v>0.72499999999999787</v>
      </c>
      <c r="O22">
        <f t="shared" ca="1" si="8"/>
        <v>0.74500000000000099</v>
      </c>
      <c r="P22">
        <f t="shared" ca="1" si="9"/>
        <v>0.98499999999999943</v>
      </c>
      <c r="R22" s="25">
        <v>-107</v>
      </c>
      <c r="S22" s="25">
        <v>-169</v>
      </c>
      <c r="T22" s="29">
        <v>24</v>
      </c>
      <c r="U22" s="1"/>
    </row>
    <row r="23" spans="2:21" x14ac:dyDescent="0.25">
      <c r="B23" s="1" t="s">
        <v>41</v>
      </c>
      <c r="C23" s="1">
        <v>150</v>
      </c>
      <c r="D23" s="25">
        <f t="shared" si="1"/>
        <v>15</v>
      </c>
      <c r="E23" s="1">
        <v>0.5</v>
      </c>
      <c r="F23" s="1">
        <v>0.5</v>
      </c>
      <c r="G23" s="26">
        <f t="shared" si="2"/>
        <v>17</v>
      </c>
      <c r="H23" s="22">
        <f t="shared" si="15"/>
        <v>30</v>
      </c>
      <c r="I23" s="23"/>
      <c r="J23" s="30"/>
      <c r="K23">
        <f t="shared" ca="1" si="10"/>
        <v>67</v>
      </c>
      <c r="L23">
        <f t="shared" ca="1" si="11"/>
        <v>74</v>
      </c>
      <c r="M23">
        <f t="shared" ca="1" si="12"/>
        <v>15</v>
      </c>
      <c r="N23">
        <f t="shared" ca="1" si="7"/>
        <v>157</v>
      </c>
      <c r="O23">
        <f t="shared" ca="1" si="8"/>
        <v>50.5</v>
      </c>
      <c r="P23">
        <f t="shared" ca="1" si="9"/>
        <v>38.5</v>
      </c>
      <c r="R23" s="29">
        <v>45</v>
      </c>
      <c r="S23" s="29">
        <v>10</v>
      </c>
      <c r="T23" s="29">
        <v>44</v>
      </c>
      <c r="U23" s="1"/>
    </row>
    <row r="24" spans="2:21" x14ac:dyDescent="0.25">
      <c r="B24" s="22" t="s">
        <v>53</v>
      </c>
      <c r="C24" s="22">
        <v>5.7</v>
      </c>
      <c r="D24" s="25">
        <f>C24/10</f>
        <v>0.57000000000000006</v>
      </c>
      <c r="E24" s="22">
        <v>0.01</v>
      </c>
      <c r="F24" s="22">
        <v>0.1</v>
      </c>
      <c r="G24" s="26">
        <f>ROUND($C$4/(D24/E24*F24),0)</f>
        <v>44</v>
      </c>
      <c r="H24" s="22">
        <f t="shared" si="15"/>
        <v>57</v>
      </c>
      <c r="I24" s="24"/>
      <c r="J24" s="30"/>
      <c r="K24">
        <f t="shared" ca="1" si="10"/>
        <v>3.02</v>
      </c>
      <c r="L24">
        <f t="shared" ca="1" si="11"/>
        <v>4.9399999999999977</v>
      </c>
      <c r="M24">
        <f t="shared" ca="1" si="12"/>
        <v>0.69999999999998863</v>
      </c>
      <c r="N24">
        <f t="shared" ca="1" si="7"/>
        <v>3.7999999999999829</v>
      </c>
      <c r="O24">
        <f t="shared" ca="1" si="8"/>
        <v>2.8499999999999943</v>
      </c>
      <c r="P24">
        <f t="shared" ca="1" si="9"/>
        <v>2.8000000000000114</v>
      </c>
      <c r="R24" s="25">
        <v>-146</v>
      </c>
      <c r="S24" s="25">
        <v>-28</v>
      </c>
      <c r="T24" s="29">
        <v>31</v>
      </c>
      <c r="U24" s="1"/>
    </row>
    <row r="25" spans="2:21" x14ac:dyDescent="0.25">
      <c r="B25" s="22" t="s">
        <v>45</v>
      </c>
      <c r="C25" s="22">
        <v>6.5</v>
      </c>
      <c r="D25" s="25">
        <f t="shared" si="1"/>
        <v>0.65</v>
      </c>
      <c r="E25" s="22">
        <v>0.01</v>
      </c>
      <c r="F25" s="22">
        <v>0.01</v>
      </c>
      <c r="G25" s="26">
        <f t="shared" si="2"/>
        <v>385</v>
      </c>
      <c r="H25" s="22">
        <f t="shared" si="15"/>
        <v>65</v>
      </c>
      <c r="I25" s="23"/>
      <c r="J25" s="30"/>
      <c r="K25">
        <f t="shared" ca="1" si="10"/>
        <v>2.3199999999999998</v>
      </c>
      <c r="L25">
        <f t="shared" ca="1" si="11"/>
        <v>4.2899999999999991</v>
      </c>
      <c r="M25">
        <f t="shared" ca="1" si="12"/>
        <v>0.4199999999999946</v>
      </c>
      <c r="N25">
        <f t="shared" ca="1" si="7"/>
        <v>3.6799999999999997</v>
      </c>
      <c r="O25">
        <f t="shared" ca="1" si="8"/>
        <v>1.1800000000000068</v>
      </c>
      <c r="P25">
        <f t="shared" ca="1" si="9"/>
        <v>2.0499999999999972</v>
      </c>
      <c r="R25" s="25">
        <v>-6</v>
      </c>
      <c r="S25" s="29">
        <v>142</v>
      </c>
      <c r="T25" s="29">
        <v>62</v>
      </c>
      <c r="U25" s="1"/>
    </row>
    <row r="26" spans="2:21" x14ac:dyDescent="0.25">
      <c r="B26" s="1" t="s">
        <v>36</v>
      </c>
      <c r="C26" s="1">
        <v>4.1900000000000004</v>
      </c>
      <c r="D26" s="25">
        <f t="shared" si="1"/>
        <v>0.41900000000000004</v>
      </c>
      <c r="E26" s="1">
        <v>0.05</v>
      </c>
      <c r="F26" s="1">
        <v>0.5</v>
      </c>
      <c r="G26" s="26">
        <f t="shared" si="2"/>
        <v>60</v>
      </c>
      <c r="H26" s="22">
        <f t="shared" si="15"/>
        <v>8</v>
      </c>
      <c r="I26" s="23"/>
      <c r="J26" s="30">
        <v>46063</v>
      </c>
      <c r="K26">
        <f t="shared" ca="1" si="10"/>
        <v>3.15</v>
      </c>
      <c r="L26">
        <f t="shared" ca="1" si="11"/>
        <v>4.6500000000000057</v>
      </c>
      <c r="M26">
        <f t="shared" ca="1" si="12"/>
        <v>0.75</v>
      </c>
      <c r="N26">
        <f t="shared" ca="1" si="7"/>
        <v>3.0999999999999943</v>
      </c>
      <c r="O26">
        <f t="shared" ca="1" si="8"/>
        <v>2.5999999999999943</v>
      </c>
      <c r="P26">
        <f t="shared" ca="1" si="9"/>
        <v>4.6499999999999773</v>
      </c>
      <c r="R26" s="25">
        <v>-149</v>
      </c>
      <c r="S26" s="29">
        <v>46</v>
      </c>
      <c r="T26" s="29">
        <v>59</v>
      </c>
      <c r="U26" s="1"/>
    </row>
    <row r="27" spans="2:21" x14ac:dyDescent="0.25">
      <c r="B27" s="1" t="s">
        <v>42</v>
      </c>
      <c r="C27" s="1">
        <v>4</v>
      </c>
      <c r="D27" s="25">
        <f t="shared" si="1"/>
        <v>0.4</v>
      </c>
      <c r="E27" s="1">
        <v>0.02</v>
      </c>
      <c r="F27" s="1">
        <v>0.2</v>
      </c>
      <c r="G27" s="26">
        <f t="shared" si="2"/>
        <v>63</v>
      </c>
      <c r="H27" s="22">
        <f t="shared" si="15"/>
        <v>20</v>
      </c>
      <c r="I27" s="23"/>
      <c r="J27" s="30"/>
      <c r="K27">
        <f t="shared" ca="1" si="10"/>
        <v>1.91</v>
      </c>
      <c r="L27">
        <f t="shared" ca="1" si="11"/>
        <v>3.1599999999999966</v>
      </c>
      <c r="M27">
        <f t="shared" ca="1" si="12"/>
        <v>0.42000000000000171</v>
      </c>
      <c r="N27">
        <f t="shared" ca="1" si="7"/>
        <v>1.480000000000004</v>
      </c>
      <c r="O27">
        <f t="shared" ca="1" si="8"/>
        <v>2.039999999999992</v>
      </c>
      <c r="P27">
        <f t="shared" ca="1" si="9"/>
        <v>2.4599999999999937</v>
      </c>
      <c r="R27" s="29">
        <v>23</v>
      </c>
      <c r="S27" s="29">
        <v>241</v>
      </c>
      <c r="T27" s="29">
        <v>13</v>
      </c>
      <c r="U27" s="1"/>
    </row>
    <row r="28" spans="2:21" x14ac:dyDescent="0.25">
      <c r="B28" s="22" t="s">
        <v>66</v>
      </c>
      <c r="C28" s="22">
        <v>22.54</v>
      </c>
      <c r="D28" s="25">
        <f>C28/10</f>
        <v>2.254</v>
      </c>
      <c r="E28" s="22">
        <v>0.1</v>
      </c>
      <c r="F28" s="22">
        <v>0.1</v>
      </c>
      <c r="G28" s="26">
        <f>ROUND($C$4/(D28/E28*F28),0)</f>
        <v>111</v>
      </c>
      <c r="H28" s="22">
        <f t="shared" si="15"/>
        <v>23</v>
      </c>
      <c r="I28" s="24"/>
      <c r="J28" s="30">
        <v>46133</v>
      </c>
      <c r="K28">
        <f t="shared" ca="1" si="10"/>
        <v>19.78</v>
      </c>
      <c r="L28">
        <f t="shared" ca="1" si="11"/>
        <v>39.299999999999955</v>
      </c>
      <c r="M28">
        <f t="shared" ca="1" si="12"/>
        <v>3.2000000000000455</v>
      </c>
      <c r="N28">
        <f t="shared" ca="1" si="7"/>
        <v>23.299999999999955</v>
      </c>
      <c r="O28">
        <f t="shared" ca="1" si="8"/>
        <v>17.5</v>
      </c>
      <c r="P28">
        <f t="shared" ca="1" si="9"/>
        <v>15.599999999999909</v>
      </c>
      <c r="R28" s="1"/>
      <c r="S28" s="29">
        <v>55</v>
      </c>
      <c r="T28" s="1"/>
      <c r="U28" s="1"/>
    </row>
    <row r="29" spans="2:21" x14ac:dyDescent="0.25">
      <c r="B29" s="1" t="s">
        <v>39</v>
      </c>
      <c r="C29" s="1">
        <v>125.5</v>
      </c>
      <c r="D29" s="25">
        <f t="shared" si="1"/>
        <v>12.55</v>
      </c>
      <c r="E29" s="1">
        <v>0.5</v>
      </c>
      <c r="F29" s="1">
        <v>0.5</v>
      </c>
      <c r="G29" s="26">
        <f t="shared" si="2"/>
        <v>20</v>
      </c>
      <c r="H29" s="22">
        <f t="shared" si="15"/>
        <v>25</v>
      </c>
      <c r="I29" s="23"/>
      <c r="J29" s="30">
        <v>46133</v>
      </c>
      <c r="K29">
        <f t="shared" ca="1" si="10"/>
        <v>117.3</v>
      </c>
      <c r="L29">
        <f t="shared" ca="1" si="11"/>
        <v>164</v>
      </c>
      <c r="M29">
        <f t="shared" ca="1" si="12"/>
        <v>28</v>
      </c>
      <c r="N29">
        <f t="shared" ca="1" si="7"/>
        <v>249</v>
      </c>
      <c r="O29">
        <f t="shared" ca="1" si="8"/>
        <v>69.5</v>
      </c>
      <c r="P29">
        <f t="shared" ca="1" si="9"/>
        <v>76</v>
      </c>
      <c r="R29" s="25">
        <v>-6</v>
      </c>
      <c r="S29" s="25">
        <v>-340</v>
      </c>
      <c r="T29" s="29">
        <v>22</v>
      </c>
      <c r="U29" s="1"/>
    </row>
    <row r="30" spans="2:21" x14ac:dyDescent="0.25">
      <c r="B30" s="22" t="s">
        <v>72</v>
      </c>
      <c r="C30" s="22">
        <v>140</v>
      </c>
      <c r="D30" s="25">
        <f>C30/10</f>
        <v>14</v>
      </c>
      <c r="E30" s="22">
        <v>0.2</v>
      </c>
      <c r="F30" s="22">
        <v>0.2</v>
      </c>
      <c r="G30" s="26">
        <f>ROUND($C$4/(D30/E30*F30),0)</f>
        <v>18</v>
      </c>
      <c r="H30" s="22">
        <f t="shared" si="15"/>
        <v>70</v>
      </c>
      <c r="I30" s="24"/>
      <c r="K30">
        <f t="shared" ca="1" si="10"/>
        <v>22.48</v>
      </c>
      <c r="L30">
        <f t="shared" ca="1" si="11"/>
        <v>16</v>
      </c>
      <c r="M30">
        <f t="shared" ca="1" si="12"/>
        <v>23</v>
      </c>
      <c r="N30">
        <f t="shared" ca="1" si="7"/>
        <v>30</v>
      </c>
      <c r="O30">
        <f t="shared" ca="1" si="8"/>
        <v>12.400000000000091</v>
      </c>
      <c r="P30">
        <f t="shared" ca="1" si="9"/>
        <v>31</v>
      </c>
      <c r="R30" s="1"/>
      <c r="S30" s="25">
        <v>-426</v>
      </c>
      <c r="T30" s="1"/>
      <c r="U30" s="1"/>
    </row>
    <row r="31" spans="2:21" x14ac:dyDescent="0.25">
      <c r="B31" s="22" t="s">
        <v>54</v>
      </c>
      <c r="C31" s="22">
        <v>112</v>
      </c>
      <c r="D31" s="25">
        <f t="shared" ref="D31:D44" si="16">C31/10</f>
        <v>11.2</v>
      </c>
      <c r="E31" s="22">
        <v>1</v>
      </c>
      <c r="F31" s="22">
        <v>1</v>
      </c>
      <c r="G31" s="26">
        <f t="shared" ref="G31:G44" si="17">ROUND($C$4/(D31/E31*F31),0)</f>
        <v>22</v>
      </c>
      <c r="H31" s="22">
        <f t="shared" si="15"/>
        <v>11</v>
      </c>
      <c r="I31" s="24"/>
      <c r="K31">
        <f t="shared" ca="1" si="10"/>
        <v>109.2</v>
      </c>
      <c r="L31">
        <f t="shared" ca="1" si="11"/>
        <v>188</v>
      </c>
      <c r="M31">
        <f t="shared" ca="1" si="12"/>
        <v>18</v>
      </c>
      <c r="N31">
        <f t="shared" ca="1" si="7"/>
        <v>108</v>
      </c>
      <c r="O31">
        <f t="shared" ca="1" si="8"/>
        <v>130</v>
      </c>
      <c r="P31">
        <f t="shared" ca="1" si="9"/>
        <v>102</v>
      </c>
      <c r="R31" s="25">
        <v>-31</v>
      </c>
      <c r="S31" s="1"/>
      <c r="T31" s="29">
        <v>35</v>
      </c>
      <c r="U31" s="1"/>
    </row>
    <row r="32" spans="2:21" x14ac:dyDescent="0.25">
      <c r="B32" s="22" t="s">
        <v>70</v>
      </c>
      <c r="C32" s="22">
        <v>13.12</v>
      </c>
      <c r="D32" s="25">
        <f>C32/10</f>
        <v>1.3119999999999998</v>
      </c>
      <c r="E32" s="22">
        <v>0.1</v>
      </c>
      <c r="F32" s="22">
        <v>0.1</v>
      </c>
      <c r="G32" s="26">
        <f>ROUND($C$4/(D32/E32*F32),0)</f>
        <v>191</v>
      </c>
      <c r="H32" s="22">
        <f t="shared" si="15"/>
        <v>13</v>
      </c>
      <c r="I32" s="24"/>
      <c r="J32" s="30">
        <v>46066</v>
      </c>
      <c r="K32">
        <f t="shared" ca="1" si="10"/>
        <v>2.46</v>
      </c>
      <c r="L32">
        <f t="shared" ca="1" si="11"/>
        <v>3.7999999999999545</v>
      </c>
      <c r="M32">
        <f t="shared" ca="1" si="12"/>
        <v>1.3999999999999773</v>
      </c>
      <c r="N32">
        <f t="shared" ca="1" si="7"/>
        <v>1.8999999999999773</v>
      </c>
      <c r="O32">
        <f t="shared" ca="1" si="8"/>
        <v>2.6999999999999318</v>
      </c>
      <c r="P32">
        <f t="shared" ca="1" si="9"/>
        <v>2.5</v>
      </c>
      <c r="R32" s="1"/>
      <c r="S32" s="29">
        <v>61</v>
      </c>
      <c r="T32" s="25">
        <v>-11</v>
      </c>
      <c r="U32" s="1"/>
    </row>
    <row r="33" spans="2:21" x14ac:dyDescent="0.25">
      <c r="B33" s="22" t="s">
        <v>58</v>
      </c>
      <c r="C33" s="22">
        <v>57.2</v>
      </c>
      <c r="D33" s="25">
        <f t="shared" si="16"/>
        <v>5.7200000000000006</v>
      </c>
      <c r="E33" s="22">
        <v>0.2</v>
      </c>
      <c r="F33" s="22">
        <v>0.2</v>
      </c>
      <c r="G33" s="26">
        <f t="shared" si="17"/>
        <v>44</v>
      </c>
      <c r="H33" s="22">
        <f t="shared" si="15"/>
        <v>29</v>
      </c>
      <c r="I33" s="24"/>
      <c r="J33" s="30">
        <v>46133</v>
      </c>
      <c r="K33">
        <f t="shared" ca="1" si="10"/>
        <v>42.88</v>
      </c>
      <c r="L33">
        <f t="shared" ca="1" si="11"/>
        <v>32.800000000000182</v>
      </c>
      <c r="M33">
        <f t="shared" ca="1" si="12"/>
        <v>11</v>
      </c>
      <c r="N33">
        <f t="shared" ca="1" si="7"/>
        <v>104.40000000000009</v>
      </c>
      <c r="O33">
        <f t="shared" ca="1" si="8"/>
        <v>30.400000000000091</v>
      </c>
      <c r="P33">
        <f t="shared" ca="1" si="9"/>
        <v>35.800000000000182</v>
      </c>
      <c r="R33" s="25">
        <v>-68</v>
      </c>
      <c r="S33" s="25">
        <v>-291</v>
      </c>
      <c r="T33" s="1"/>
      <c r="U33" s="1"/>
    </row>
    <row r="34" spans="2:21" x14ac:dyDescent="0.25">
      <c r="B34" s="22" t="s">
        <v>63</v>
      </c>
      <c r="C34" s="22">
        <v>10</v>
      </c>
      <c r="D34" s="25">
        <f t="shared" si="16"/>
        <v>1</v>
      </c>
      <c r="E34" s="22">
        <v>0.05</v>
      </c>
      <c r="F34" s="22">
        <v>0.05</v>
      </c>
      <c r="G34" s="26">
        <f t="shared" si="17"/>
        <v>250</v>
      </c>
      <c r="H34" s="22">
        <f t="shared" si="15"/>
        <v>20</v>
      </c>
      <c r="I34" s="24"/>
      <c r="K34">
        <f t="shared" ca="1" si="10"/>
        <v>3.15</v>
      </c>
      <c r="L34">
        <f t="shared" ca="1" si="11"/>
        <v>2.5999999999999943</v>
      </c>
      <c r="M34">
        <f t="shared" ca="1" si="12"/>
        <v>0.94999999999998863</v>
      </c>
      <c r="N34">
        <f t="shared" ca="1" si="7"/>
        <v>6.6500000000000057</v>
      </c>
      <c r="O34">
        <f t="shared" ca="1" si="8"/>
        <v>3.3499999999999943</v>
      </c>
      <c r="P34">
        <f t="shared" ca="1" si="9"/>
        <v>2.2000000000000028</v>
      </c>
      <c r="R34" s="1"/>
      <c r="S34" s="1"/>
      <c r="T34" s="29">
        <v>33</v>
      </c>
      <c r="U34" s="1"/>
    </row>
    <row r="35" spans="2:21" x14ac:dyDescent="0.25">
      <c r="B35" s="22" t="s">
        <v>49</v>
      </c>
      <c r="C35" s="22">
        <v>6.34</v>
      </c>
      <c r="D35" s="25">
        <f t="shared" si="16"/>
        <v>0.63400000000000001</v>
      </c>
      <c r="E35" s="22">
        <v>0.05</v>
      </c>
      <c r="F35" s="22">
        <v>0.05</v>
      </c>
      <c r="G35" s="26">
        <f t="shared" si="17"/>
        <v>394</v>
      </c>
      <c r="H35" s="22">
        <f t="shared" si="15"/>
        <v>13</v>
      </c>
      <c r="I35" s="23"/>
      <c r="J35" s="30">
        <v>46133</v>
      </c>
      <c r="K35">
        <f t="shared" ca="1" si="10"/>
        <v>7.83</v>
      </c>
      <c r="L35">
        <f t="shared" ca="1" si="11"/>
        <v>8</v>
      </c>
      <c r="M35">
        <f t="shared" ca="1" si="12"/>
        <v>2.3500000000000227</v>
      </c>
      <c r="N35">
        <f t="shared" ca="1" si="7"/>
        <v>14.25</v>
      </c>
      <c r="O35">
        <f t="shared" ca="1" si="8"/>
        <v>9.1499999999999773</v>
      </c>
      <c r="P35">
        <f t="shared" ca="1" si="9"/>
        <v>5.4000000000000341</v>
      </c>
      <c r="R35" s="29">
        <v>342</v>
      </c>
      <c r="S35" s="25">
        <v>-106</v>
      </c>
      <c r="T35" s="25">
        <v>-93</v>
      </c>
      <c r="U35" s="1"/>
    </row>
    <row r="36" spans="2:21" x14ac:dyDescent="0.25">
      <c r="B36" s="22" t="s">
        <v>67</v>
      </c>
      <c r="C36" s="22">
        <v>1.1299999999999999</v>
      </c>
      <c r="D36" s="25">
        <f>C36/10</f>
        <v>0.11299999999999999</v>
      </c>
      <c r="E36" s="22">
        <v>5.0000000000000001E-3</v>
      </c>
      <c r="F36" s="22">
        <v>0.05</v>
      </c>
      <c r="G36" s="26">
        <f>ROUND($C$4/(D36/E36*F36),0)</f>
        <v>221</v>
      </c>
      <c r="H36" s="22">
        <f t="shared" si="15"/>
        <v>23</v>
      </c>
      <c r="I36" s="24"/>
      <c r="J36" s="30">
        <v>46133</v>
      </c>
      <c r="K36">
        <f t="shared" ca="1" si="10"/>
        <v>0.81</v>
      </c>
      <c r="L36">
        <f t="shared" ca="1" si="11"/>
        <v>1.0949999999999989</v>
      </c>
      <c r="M36">
        <f t="shared" ca="1" si="12"/>
        <v>0.29500000000000171</v>
      </c>
      <c r="N36">
        <f t="shared" ca="1" si="7"/>
        <v>0.98000000000000398</v>
      </c>
      <c r="O36">
        <f t="shared" ca="1" si="8"/>
        <v>0.77499999999999858</v>
      </c>
      <c r="P36">
        <f t="shared" ca="1" si="9"/>
        <v>0.92000000000000171</v>
      </c>
      <c r="R36" s="1"/>
      <c r="S36" s="25">
        <v>-143</v>
      </c>
      <c r="T36" s="1"/>
      <c r="U36" s="1"/>
    </row>
    <row r="37" spans="2:21" x14ac:dyDescent="0.25">
      <c r="B37" s="22" t="s">
        <v>48</v>
      </c>
      <c r="C37" s="22">
        <v>6</v>
      </c>
      <c r="D37" s="25">
        <f t="shared" si="16"/>
        <v>0.6</v>
      </c>
      <c r="E37" s="22">
        <v>0.01</v>
      </c>
      <c r="F37" s="22">
        <v>0.01</v>
      </c>
      <c r="G37" s="26">
        <f t="shared" si="17"/>
        <v>417</v>
      </c>
      <c r="H37" s="22">
        <f t="shared" si="15"/>
        <v>60</v>
      </c>
      <c r="I37" s="23"/>
      <c r="J37" s="30">
        <v>46133</v>
      </c>
      <c r="K37">
        <f t="shared" ca="1" si="10"/>
        <v>2.87</v>
      </c>
      <c r="L37">
        <f t="shared" ca="1" si="11"/>
        <v>3.9399999999999977</v>
      </c>
      <c r="M37">
        <f t="shared" ca="1" si="12"/>
        <v>0.5</v>
      </c>
      <c r="N37">
        <f t="shared" ca="1" si="7"/>
        <v>3.4900000000000091</v>
      </c>
      <c r="O37">
        <f t="shared" ca="1" si="8"/>
        <v>2.4399999999999977</v>
      </c>
      <c r="P37">
        <f t="shared" ca="1" si="9"/>
        <v>3.9599999999999795</v>
      </c>
      <c r="R37" s="29">
        <v>32</v>
      </c>
      <c r="S37" s="25">
        <v>-139</v>
      </c>
      <c r="T37" s="29">
        <v>40</v>
      </c>
      <c r="U37" s="1"/>
    </row>
    <row r="38" spans="2:21" x14ac:dyDescent="0.25">
      <c r="B38" s="22" t="s">
        <v>61</v>
      </c>
      <c r="C38" s="22">
        <v>44.16</v>
      </c>
      <c r="D38" s="25">
        <f t="shared" si="16"/>
        <v>4.4159999999999995</v>
      </c>
      <c r="E38" s="22">
        <v>0.2</v>
      </c>
      <c r="F38" s="22">
        <v>0.2</v>
      </c>
      <c r="G38" s="26">
        <f t="shared" si="17"/>
        <v>57</v>
      </c>
      <c r="H38" s="22">
        <f t="shared" si="15"/>
        <v>22</v>
      </c>
      <c r="I38" s="24"/>
      <c r="J38" s="30">
        <v>46058</v>
      </c>
      <c r="K38">
        <f t="shared" ca="1" si="10"/>
        <v>27.28</v>
      </c>
      <c r="L38">
        <f t="shared" ca="1" si="11"/>
        <v>26</v>
      </c>
      <c r="M38">
        <f t="shared" ca="1" si="12"/>
        <v>12</v>
      </c>
      <c r="N38">
        <f t="shared" ca="1" si="7"/>
        <v>24.799999999999955</v>
      </c>
      <c r="O38">
        <f t="shared" ca="1" si="8"/>
        <v>42.600000000000023</v>
      </c>
      <c r="P38">
        <f t="shared" ca="1" si="9"/>
        <v>31</v>
      </c>
      <c r="R38" s="25">
        <v>-89</v>
      </c>
      <c r="S38" s="25">
        <v>-300</v>
      </c>
      <c r="T38" s="1"/>
      <c r="U38" s="1"/>
    </row>
    <row r="39" spans="2:21" x14ac:dyDescent="0.25">
      <c r="B39" s="22" t="s">
        <v>65</v>
      </c>
      <c r="C39" s="22">
        <v>0.14000000000000001</v>
      </c>
      <c r="D39" s="25">
        <f>C39/10</f>
        <v>1.4000000000000002E-2</v>
      </c>
      <c r="E39" s="22">
        <v>1E-3</v>
      </c>
      <c r="F39" s="22">
        <v>0.1</v>
      </c>
      <c r="G39" s="26">
        <f>ROUND($C$4/(D39/E39*F39),0)</f>
        <v>179</v>
      </c>
      <c r="H39" s="22">
        <f t="shared" si="15"/>
        <v>14</v>
      </c>
      <c r="I39" s="24"/>
      <c r="K39">
        <f t="shared" ca="1" si="10"/>
        <v>18.05</v>
      </c>
      <c r="L39">
        <f t="shared" ca="1" si="11"/>
        <v>6.9499999999999895E-2</v>
      </c>
      <c r="M39">
        <f t="shared" ca="1" si="12"/>
        <v>1.5000000000000013E-2</v>
      </c>
      <c r="N39">
        <f t="shared" ca="1" si="7"/>
        <v>6.3999999999999946E-2</v>
      </c>
      <c r="O39">
        <f t="shared" ca="1" si="8"/>
        <v>-46021.955499999996</v>
      </c>
      <c r="P39">
        <f t="shared" ca="1" si="9"/>
        <v>46112.035499999998</v>
      </c>
      <c r="R39" s="29">
        <v>71</v>
      </c>
      <c r="S39" s="22"/>
      <c r="T39" s="1"/>
      <c r="U39" s="1"/>
    </row>
    <row r="40" spans="2:21" x14ac:dyDescent="0.25">
      <c r="B40" s="22" t="s">
        <v>71</v>
      </c>
      <c r="C40" s="22">
        <v>18.600000000000001</v>
      </c>
      <c r="D40" s="25">
        <f>C40/10</f>
        <v>1.86</v>
      </c>
      <c r="E40" s="22">
        <v>0.05</v>
      </c>
      <c r="F40" s="22">
        <v>0.05</v>
      </c>
      <c r="G40" s="26">
        <f>ROUND($C$4/(D40/E40*F40),0)</f>
        <v>134</v>
      </c>
      <c r="H40" s="22">
        <f t="shared" si="15"/>
        <v>37</v>
      </c>
      <c r="I40" s="24"/>
      <c r="K40">
        <f t="shared" ca="1" si="10"/>
        <v>8.84</v>
      </c>
      <c r="L40">
        <f t="shared" ca="1" si="11"/>
        <v>11.75</v>
      </c>
      <c r="M40">
        <f t="shared" ca="1" si="12"/>
        <v>2.5499999999999545</v>
      </c>
      <c r="N40">
        <f t="shared" ca="1" si="7"/>
        <v>16.450000000000045</v>
      </c>
      <c r="O40">
        <f t="shared" ca="1" si="8"/>
        <v>8.4000000000000909</v>
      </c>
      <c r="P40">
        <f t="shared" ca="1" si="9"/>
        <v>5.0499999999999545</v>
      </c>
      <c r="R40" s="25">
        <v>-9</v>
      </c>
      <c r="S40" s="29">
        <v>42</v>
      </c>
      <c r="T40" s="1"/>
      <c r="U40" s="1"/>
    </row>
    <row r="41" spans="2:21" x14ac:dyDescent="0.25">
      <c r="B41" s="22" t="s">
        <v>69</v>
      </c>
      <c r="C41" s="22">
        <v>45</v>
      </c>
      <c r="D41" s="25">
        <f>C41/10</f>
        <v>4.5</v>
      </c>
      <c r="E41" s="22">
        <v>0.2</v>
      </c>
      <c r="F41" s="22">
        <v>0.2</v>
      </c>
      <c r="G41" s="26">
        <f>ROUND($C$4/(D41/E41*F41),0)</f>
        <v>56</v>
      </c>
      <c r="H41" s="22">
        <f t="shared" si="15"/>
        <v>23</v>
      </c>
      <c r="I41" s="24"/>
      <c r="J41" s="30">
        <v>46133</v>
      </c>
      <c r="K41">
        <f t="shared" ca="1" si="10"/>
        <v>40.28</v>
      </c>
      <c r="L41">
        <f t="shared" ca="1" si="11"/>
        <v>55.799999999999955</v>
      </c>
      <c r="M41">
        <f t="shared" ca="1" si="12"/>
        <v>11.599999999999909</v>
      </c>
      <c r="N41">
        <f t="shared" ca="1" si="7"/>
        <v>53.799999999999955</v>
      </c>
      <c r="O41">
        <f t="shared" ca="1" si="8"/>
        <v>20.200000000000045</v>
      </c>
      <c r="P41">
        <f t="shared" ca="1" si="9"/>
        <v>60</v>
      </c>
      <c r="R41" s="1"/>
      <c r="S41" s="1"/>
      <c r="T41" s="29">
        <v>22</v>
      </c>
      <c r="U41" s="1"/>
    </row>
    <row r="42" spans="2:21" x14ac:dyDescent="0.25">
      <c r="B42" s="1" t="s">
        <v>75</v>
      </c>
      <c r="C42" s="22">
        <v>690</v>
      </c>
      <c r="D42" s="25">
        <f>C42/10</f>
        <v>69</v>
      </c>
      <c r="E42" s="22">
        <v>5.0000000000000001E-3</v>
      </c>
      <c r="F42" s="22">
        <v>0.5</v>
      </c>
      <c r="G42" s="26">
        <f>ROUND($C$4/(D42/E42*F42),0)</f>
        <v>0</v>
      </c>
      <c r="H42" s="22">
        <f t="shared" si="15"/>
        <v>13800</v>
      </c>
      <c r="I42" s="24"/>
      <c r="K42">
        <f t="shared" ca="1" si="10"/>
        <v>0.27</v>
      </c>
      <c r="L42">
        <f t="shared" ca="1" si="11"/>
        <v>0.4599999999999973</v>
      </c>
      <c r="M42">
        <f t="shared" ca="1" si="12"/>
        <v>0.14000000000000057</v>
      </c>
      <c r="N42">
        <f t="shared" ca="1" si="7"/>
        <v>0.33999999999999986</v>
      </c>
      <c r="O42">
        <f t="shared" ca="1" si="8"/>
        <v>0.18500000000000227</v>
      </c>
      <c r="P42">
        <f t="shared" ca="1" si="9"/>
        <v>0.22000000000000242</v>
      </c>
    </row>
    <row r="43" spans="2:21" x14ac:dyDescent="0.25">
      <c r="B43" s="22" t="s">
        <v>60</v>
      </c>
      <c r="C43" s="22">
        <v>1.65</v>
      </c>
      <c r="D43" s="25">
        <f t="shared" si="16"/>
        <v>0.16499999999999998</v>
      </c>
      <c r="E43" s="22">
        <v>5.0000000000000001E-3</v>
      </c>
      <c r="F43" s="22">
        <v>0.05</v>
      </c>
      <c r="G43" s="26">
        <f t="shared" si="17"/>
        <v>152</v>
      </c>
      <c r="H43" s="22">
        <f t="shared" si="15"/>
        <v>33</v>
      </c>
      <c r="I43" s="24"/>
      <c r="J43" s="30">
        <v>46133</v>
      </c>
      <c r="K43">
        <f t="shared" ca="1" si="10"/>
        <v>1.1599999999999999</v>
      </c>
      <c r="L43">
        <f t="shared" ca="1" si="11"/>
        <v>1.240000000000002</v>
      </c>
      <c r="M43">
        <f t="shared" ca="1" si="12"/>
        <v>0.18999999999999773</v>
      </c>
      <c r="N43">
        <f t="shared" ca="1" si="7"/>
        <v>1.1749999999999972</v>
      </c>
      <c r="O43">
        <f t="shared" ca="1" si="8"/>
        <v>1.7600000000000051</v>
      </c>
      <c r="P43">
        <f t="shared" ca="1" si="9"/>
        <v>1.4200000000000017</v>
      </c>
      <c r="R43" s="25">
        <v>-18</v>
      </c>
      <c r="S43" s="25">
        <v>-76</v>
      </c>
      <c r="T43" s="25">
        <v>-116</v>
      </c>
      <c r="U43" s="1"/>
    </row>
    <row r="44" spans="2:21" x14ac:dyDescent="0.25">
      <c r="B44" s="22" t="s">
        <v>62</v>
      </c>
      <c r="C44" s="22">
        <v>12</v>
      </c>
      <c r="D44" s="25">
        <f t="shared" si="16"/>
        <v>1.2</v>
      </c>
      <c r="E44" s="22">
        <v>0.1</v>
      </c>
      <c r="F44" s="22">
        <v>0.1</v>
      </c>
      <c r="G44" s="26">
        <f t="shared" si="17"/>
        <v>208</v>
      </c>
      <c r="H44" s="22">
        <f t="shared" si="15"/>
        <v>12</v>
      </c>
      <c r="I44" s="24"/>
      <c r="K44">
        <f t="shared" ca="1" si="10"/>
        <v>13.14</v>
      </c>
      <c r="L44">
        <f ca="1">VALUE(SUBSTITUTE(_xlfn.FILTERXML(_xlfn.WEBSERVICE("https://iss.moex.com/iss/engines/stock/markets/shares/securities/"&amp;B44&amp;"/candles.xml?from="&amp;$L$7&amp;"&amp;till="&amp;$L$7&amp;"&amp;interval=24"),"//document//data//rows//row/@high"),".",","))-VALUE(SUBSTITUTE(_xlfn.FILTERXML(_xlfn.WEBSERVICE("https://iss.moex.com/iss/engines/stock/markets/shares/securities/"&amp;B44&amp;"/candles.xml?from="&amp;$L$7&amp;"&amp;till="&amp;$L$7&amp;"&amp;interval=24"),"//document//data//rows//row/@low"),".",","))</f>
        <v>19.399999999999977</v>
      </c>
      <c r="M44">
        <f t="shared" ca="1" si="12"/>
        <v>3.6000000000000227</v>
      </c>
      <c r="N44">
        <f t="shared" ca="1" si="7"/>
        <v>19.100000000000023</v>
      </c>
      <c r="O44">
        <f t="shared" ca="1" si="8"/>
        <v>8.8999999999999773</v>
      </c>
      <c r="P44">
        <f t="shared" ca="1" si="9"/>
        <v>14.700000000000045</v>
      </c>
      <c r="R44" s="25">
        <v>-114</v>
      </c>
      <c r="S44" s="29">
        <v>6</v>
      </c>
      <c r="T44" s="1"/>
      <c r="U44" s="1"/>
    </row>
    <row r="45" spans="2:21" x14ac:dyDescent="0.25">
      <c r="B45" s="22" t="s">
        <v>52</v>
      </c>
      <c r="C45" s="22">
        <v>6</v>
      </c>
      <c r="D45" s="25">
        <f>C45/10</f>
        <v>0.6</v>
      </c>
      <c r="E45" s="22">
        <v>0.02</v>
      </c>
      <c r="F45" s="22">
        <v>0.2</v>
      </c>
      <c r="G45" s="26">
        <f t="shared" ref="G45:G50" si="18">ROUND($C$4/(D45/E45*F45),0)</f>
        <v>42</v>
      </c>
      <c r="H45" s="22">
        <f t="shared" si="15"/>
        <v>30</v>
      </c>
      <c r="I45" s="24"/>
      <c r="K45">
        <f t="shared" ca="1" si="10"/>
        <v>2.41</v>
      </c>
      <c r="L45">
        <f t="shared" ca="1" si="11"/>
        <v>2.8199999999999932</v>
      </c>
      <c r="M45">
        <f t="shared" ca="1" si="12"/>
        <v>0.37999999999999545</v>
      </c>
      <c r="N45">
        <f t="shared" ca="1" si="7"/>
        <v>4.3799999999999955</v>
      </c>
      <c r="O45">
        <f t="shared" ca="1" si="8"/>
        <v>1.5999999999999943</v>
      </c>
      <c r="P45">
        <f t="shared" ca="1" si="9"/>
        <v>2.8799999999999955</v>
      </c>
      <c r="R45" s="29">
        <v>7</v>
      </c>
      <c r="S45" s="25">
        <v>-262</v>
      </c>
      <c r="T45" s="1"/>
      <c r="U45" s="1"/>
    </row>
    <row r="46" spans="2:21" x14ac:dyDescent="0.25">
      <c r="B46" s="22" t="s">
        <v>74</v>
      </c>
      <c r="C46" s="22">
        <v>70</v>
      </c>
      <c r="D46" s="25">
        <f>C46/10</f>
        <v>7</v>
      </c>
      <c r="E46" s="22">
        <v>0.5</v>
      </c>
      <c r="F46" s="22">
        <v>0.5</v>
      </c>
      <c r="G46" s="26">
        <f t="shared" si="18"/>
        <v>36</v>
      </c>
      <c r="H46" s="22">
        <f t="shared" ref="H46:H48" si="19">ROUND(D46/E46,0)</f>
        <v>14</v>
      </c>
      <c r="I46" s="24"/>
      <c r="K46">
        <f t="shared" ca="1" si="10"/>
        <v>15.76</v>
      </c>
      <c r="L46">
        <f t="shared" ca="1" si="11"/>
        <v>18.200000000000045</v>
      </c>
      <c r="M46">
        <f t="shared" ca="1" si="12"/>
        <v>6.2000000000000455</v>
      </c>
      <c r="N46">
        <f t="shared" ca="1" si="7"/>
        <v>22.399999999999864</v>
      </c>
      <c r="O46">
        <f t="shared" ca="1" si="8"/>
        <v>17.799999999999955</v>
      </c>
      <c r="P46">
        <f t="shared" ca="1" si="9"/>
        <v>14.200000000000045</v>
      </c>
      <c r="R46" s="1"/>
      <c r="S46" s="25">
        <v>-8</v>
      </c>
      <c r="T46" s="29">
        <v>5</v>
      </c>
      <c r="U46" s="1"/>
    </row>
    <row r="47" spans="2:21" x14ac:dyDescent="0.25">
      <c r="B47" s="22" t="s">
        <v>80</v>
      </c>
      <c r="C47" s="22">
        <v>5.1400000000000001E-2</v>
      </c>
      <c r="D47" s="25">
        <f>ROUND(C47/10,4)</f>
        <v>5.1000000000000004E-3</v>
      </c>
      <c r="E47" s="1">
        <v>1E-4</v>
      </c>
      <c r="F47" s="1">
        <v>0.1</v>
      </c>
      <c r="G47" s="26">
        <f t="shared" si="18"/>
        <v>49</v>
      </c>
      <c r="H47" s="22">
        <f t="shared" si="19"/>
        <v>51</v>
      </c>
      <c r="I47" s="24"/>
      <c r="J47" s="30">
        <v>46133</v>
      </c>
      <c r="K47">
        <f ca="1">ROUND(AVERAGE(L47:P47),4)</f>
        <v>1.8800000000000001E-2</v>
      </c>
      <c r="L47">
        <f t="shared" ca="1" si="11"/>
        <v>1.3900000000000023E-2</v>
      </c>
      <c r="M47">
        <f t="shared" ca="1" si="12"/>
        <v>2.9000000000000137E-3</v>
      </c>
      <c r="N47">
        <f t="shared" ca="1" si="7"/>
        <v>3.1100000000000017E-2</v>
      </c>
      <c r="O47">
        <f t="shared" ca="1" si="8"/>
        <v>2.3799999999999932E-2</v>
      </c>
      <c r="P47">
        <f t="shared" ca="1" si="9"/>
        <v>2.2299999999999986E-2</v>
      </c>
      <c r="R47" s="1"/>
      <c r="S47" s="22"/>
      <c r="T47" s="22"/>
      <c r="U47" s="1"/>
    </row>
    <row r="48" spans="2:21" x14ac:dyDescent="0.25">
      <c r="B48" s="1" t="s">
        <v>44</v>
      </c>
      <c r="C48" s="1">
        <v>8.9</v>
      </c>
      <c r="D48" s="25">
        <f>C48/10</f>
        <v>0.89</v>
      </c>
      <c r="E48" s="1">
        <v>0.05</v>
      </c>
      <c r="F48" s="1">
        <v>0.05</v>
      </c>
      <c r="G48" s="26">
        <f t="shared" si="18"/>
        <v>281</v>
      </c>
      <c r="H48" s="22">
        <f t="shared" si="19"/>
        <v>18</v>
      </c>
      <c r="I48" s="23"/>
      <c r="J48" s="30">
        <v>46063</v>
      </c>
      <c r="K48">
        <f t="shared" ca="1" si="10"/>
        <v>6.07</v>
      </c>
      <c r="L48">
        <f t="shared" ca="1" si="11"/>
        <v>10.399999999999977</v>
      </c>
      <c r="M48">
        <f t="shared" ca="1" si="12"/>
        <v>1.6000000000000227</v>
      </c>
      <c r="N48">
        <f t="shared" ca="1" si="7"/>
        <v>8.4999999999999716</v>
      </c>
      <c r="O48">
        <f t="shared" ca="1" si="8"/>
        <v>5.5999999999999659</v>
      </c>
      <c r="P48">
        <f t="shared" ca="1" si="9"/>
        <v>4.25</v>
      </c>
      <c r="R48" s="1"/>
      <c r="S48" s="29">
        <v>24</v>
      </c>
      <c r="T48" s="1"/>
      <c r="U48" s="1"/>
    </row>
    <row r="49" spans="1:21" x14ac:dyDescent="0.25">
      <c r="A49" t="s">
        <v>77</v>
      </c>
      <c r="B49" s="22" t="s">
        <v>59</v>
      </c>
      <c r="C49" s="22">
        <v>2.71</v>
      </c>
      <c r="D49" s="25">
        <f>C49/10</f>
        <v>0.27100000000000002</v>
      </c>
      <c r="E49" s="22">
        <v>5.0000000000000001E-3</v>
      </c>
      <c r="F49" s="22">
        <v>5.0000000000000001E-3</v>
      </c>
      <c r="G49" s="26">
        <f t="shared" si="18"/>
        <v>923</v>
      </c>
      <c r="H49" s="22">
        <f>ROUND(D49/E49,0)</f>
        <v>54</v>
      </c>
      <c r="I49" s="24"/>
      <c r="J49" s="30">
        <v>46069</v>
      </c>
      <c r="K49">
        <f t="shared" ca="1" si="10"/>
        <v>1.78</v>
      </c>
      <c r="L49">
        <f t="shared" ca="1" si="11"/>
        <v>2.2800000000000011</v>
      </c>
      <c r="M49">
        <f t="shared" ca="1" si="12"/>
        <v>0.40999999999999659</v>
      </c>
      <c r="N49">
        <f t="shared" ca="1" si="7"/>
        <v>1.5600000000000023</v>
      </c>
      <c r="O49">
        <f t="shared" ca="1" si="8"/>
        <v>1.5400000000000063</v>
      </c>
      <c r="P49">
        <f t="shared" ca="1" si="9"/>
        <v>3.125</v>
      </c>
      <c r="R49" s="29">
        <v>19</v>
      </c>
      <c r="S49" s="29">
        <v>122</v>
      </c>
      <c r="T49" s="1"/>
      <c r="U49" s="1"/>
    </row>
    <row r="50" spans="1:21" x14ac:dyDescent="0.25">
      <c r="B50" s="1" t="s">
        <v>76</v>
      </c>
      <c r="C50" s="22">
        <v>46.6</v>
      </c>
      <c r="D50" s="25">
        <f>C50/10</f>
        <v>4.66</v>
      </c>
      <c r="E50" s="22">
        <v>0.5</v>
      </c>
      <c r="F50" s="22">
        <v>0.5</v>
      </c>
      <c r="G50" s="26">
        <f t="shared" si="18"/>
        <v>54</v>
      </c>
      <c r="H50" s="22">
        <f>ROUND(D50/E50,0)</f>
        <v>9</v>
      </c>
      <c r="I50" s="24"/>
      <c r="J50" s="30">
        <v>46133</v>
      </c>
      <c r="K50">
        <f t="shared" ca="1" si="10"/>
        <v>26</v>
      </c>
      <c r="L50">
        <f t="shared" ca="1" si="11"/>
        <v>40.5</v>
      </c>
      <c r="M50">
        <f t="shared" ca="1" si="12"/>
        <v>12.5</v>
      </c>
      <c r="N50">
        <f t="shared" ca="1" si="7"/>
        <v>40</v>
      </c>
      <c r="O50">
        <f t="shared" ca="1" si="8"/>
        <v>18.5</v>
      </c>
      <c r="P50">
        <f t="shared" ca="1" si="9"/>
        <v>18.5</v>
      </c>
      <c r="R50" s="1"/>
      <c r="S50" s="1"/>
      <c r="T50" s="1"/>
      <c r="U50" s="1"/>
    </row>
    <row r="51" spans="1:21" x14ac:dyDescent="0.25">
      <c r="B51" s="1" t="s">
        <v>37</v>
      </c>
      <c r="C51" s="1">
        <v>120.3</v>
      </c>
      <c r="D51" s="25">
        <f t="shared" ref="D51:D54" si="20">C51/10</f>
        <v>12.03</v>
      </c>
      <c r="E51" s="1">
        <v>0.5</v>
      </c>
      <c r="F51" s="1">
        <v>0.5</v>
      </c>
      <c r="G51" s="26">
        <f t="shared" ref="G51:G54" si="21">ROUND($C$4/(D51/E51*F51),0)</f>
        <v>21</v>
      </c>
      <c r="H51" s="22">
        <f t="shared" ref="H51:H54" si="22">ROUND(D51/E51,0)</f>
        <v>24</v>
      </c>
      <c r="I51" s="23"/>
      <c r="J51" s="30">
        <v>46133</v>
      </c>
      <c r="K51">
        <f t="shared" ca="1" si="10"/>
        <v>90.4</v>
      </c>
      <c r="L51">
        <f t="shared" ca="1" si="11"/>
        <v>140.5</v>
      </c>
      <c r="M51">
        <f t="shared" ca="1" si="12"/>
        <v>24</v>
      </c>
      <c r="N51">
        <f t="shared" ca="1" si="7"/>
        <v>167</v>
      </c>
      <c r="O51">
        <f t="shared" ca="1" si="8"/>
        <v>64.5</v>
      </c>
      <c r="P51">
        <f t="shared" ca="1" si="9"/>
        <v>56</v>
      </c>
      <c r="R51" s="1">
        <v>-97</v>
      </c>
      <c r="S51" s="25">
        <v>-176</v>
      </c>
      <c r="T51" s="29">
        <v>11</v>
      </c>
      <c r="U51" s="1"/>
    </row>
    <row r="52" spans="1:21" x14ac:dyDescent="0.25">
      <c r="B52" s="27" t="s">
        <v>73</v>
      </c>
      <c r="C52" s="22">
        <v>60</v>
      </c>
      <c r="D52" s="25">
        <f t="shared" si="20"/>
        <v>6</v>
      </c>
      <c r="E52" s="1">
        <v>0.05</v>
      </c>
      <c r="F52" s="1">
        <v>0.5</v>
      </c>
      <c r="G52" s="26">
        <f t="shared" si="21"/>
        <v>4</v>
      </c>
      <c r="H52" s="22">
        <f t="shared" si="22"/>
        <v>120</v>
      </c>
      <c r="I52" s="23"/>
      <c r="R52" s="1"/>
      <c r="S52" s="25">
        <v>-489</v>
      </c>
      <c r="T52" s="29">
        <v>255</v>
      </c>
      <c r="U52" s="1"/>
    </row>
    <row r="53" spans="1:21" ht="14.25" customHeight="1" x14ac:dyDescent="0.25">
      <c r="B53" s="27" t="s">
        <v>11</v>
      </c>
      <c r="C53" s="22">
        <v>0.1</v>
      </c>
      <c r="D53" s="25">
        <f t="shared" si="20"/>
        <v>0.01</v>
      </c>
      <c r="E53" s="22">
        <v>1E-3</v>
      </c>
      <c r="F53" s="22">
        <v>1</v>
      </c>
      <c r="G53" s="26">
        <f t="shared" si="21"/>
        <v>25</v>
      </c>
      <c r="H53" s="22">
        <f t="shared" si="22"/>
        <v>10</v>
      </c>
      <c r="I53" s="24"/>
      <c r="R53" s="29">
        <v>445</v>
      </c>
      <c r="S53" s="25">
        <v>-21</v>
      </c>
      <c r="T53" s="29">
        <v>125</v>
      </c>
      <c r="U53" s="1"/>
    </row>
    <row r="54" spans="1:21" x14ac:dyDescent="0.25">
      <c r="B54" s="27" t="s">
        <v>81</v>
      </c>
      <c r="C54" s="22">
        <v>550</v>
      </c>
      <c r="D54" s="25">
        <f t="shared" si="20"/>
        <v>55</v>
      </c>
      <c r="E54" s="22">
        <v>1</v>
      </c>
      <c r="F54" s="22">
        <v>1</v>
      </c>
      <c r="G54" s="26">
        <f t="shared" si="21"/>
        <v>5</v>
      </c>
      <c r="H54" s="22">
        <f t="shared" si="22"/>
        <v>55</v>
      </c>
      <c r="I54" s="24"/>
      <c r="M54" t="e">
        <f ca="1">VALUE(SUBSTITUTE(_xlfn.FILTERXML(_xlfn.WEBSERVICE("https://iss.moex.com/iss/engines/futures/markets/forts/securities/"&amp;B54&amp;"/candles.xml?from="&amp;$M$7&amp;"&amp;till="&amp;$M$7&amp;"&amp;interval=24"),"//document//data//rows//row/@high"),".",","))-VALUE(SUBSTITUTE(_xlfn.FILTERXML(_xlfn.WEBSERVICE("https://iss.moex.com/iss/engines/futures/markets/forts/securities/"&amp;B54&amp;"/candles.xml?from="&amp;$M$7&amp;"&amp;till="&amp;$M$7&amp;"&amp;interval=24"),"//document//data//rows//row/@low"),".",","))</f>
        <v>#VALUE!</v>
      </c>
      <c r="R54" s="29">
        <v>459</v>
      </c>
      <c r="S54" s="29">
        <v>596</v>
      </c>
      <c r="T54" s="25">
        <v>-455</v>
      </c>
      <c r="U54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6"/>
  <sheetViews>
    <sheetView workbookViewId="0">
      <selection activeCell="J8" sqref="J8"/>
    </sheetView>
  </sheetViews>
  <sheetFormatPr defaultColWidth="10.140625" defaultRowHeight="15" x14ac:dyDescent="0.25"/>
  <sheetData>
    <row r="2" spans="2:21" x14ac:dyDescent="0.25">
      <c r="C2" s="34" t="s">
        <v>86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2:21" x14ac:dyDescent="0.25">
      <c r="B3" s="1"/>
      <c r="C3" s="1"/>
      <c r="D3" s="33">
        <v>46121</v>
      </c>
      <c r="E3" s="33">
        <v>46122</v>
      </c>
      <c r="F3" s="33">
        <v>46127</v>
      </c>
      <c r="G3" s="33">
        <v>46128</v>
      </c>
      <c r="H3" s="33">
        <v>46134</v>
      </c>
      <c r="I3" s="33">
        <v>46135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 x14ac:dyDescent="0.25">
      <c r="B4" s="1" t="s">
        <v>8</v>
      </c>
      <c r="C4" s="1" t="s">
        <v>91</v>
      </c>
      <c r="D4" s="1">
        <v>46</v>
      </c>
      <c r="E4" s="1">
        <v>157</v>
      </c>
      <c r="F4" s="1">
        <v>91</v>
      </c>
      <c r="G4" s="1"/>
      <c r="H4" s="1">
        <v>62</v>
      </c>
      <c r="I4" s="1">
        <v>46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x14ac:dyDescent="0.25">
      <c r="B5" s="1" t="s">
        <v>87</v>
      </c>
      <c r="C5" s="1" t="s">
        <v>94</v>
      </c>
      <c r="D5" s="1">
        <v>50</v>
      </c>
      <c r="E5" s="1"/>
      <c r="F5" s="1"/>
      <c r="G5" s="1">
        <v>140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x14ac:dyDescent="0.25">
      <c r="B6" s="1" t="s">
        <v>88</v>
      </c>
      <c r="C6" s="1" t="s">
        <v>95</v>
      </c>
      <c r="D6" s="1">
        <v>60</v>
      </c>
      <c r="E6" s="1">
        <v>44</v>
      </c>
      <c r="F6" s="1"/>
      <c r="G6" s="1">
        <v>43</v>
      </c>
      <c r="H6" s="1">
        <v>45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2:21" x14ac:dyDescent="0.25">
      <c r="B7" s="1" t="s">
        <v>73</v>
      </c>
      <c r="C7" s="1" t="s">
        <v>92</v>
      </c>
      <c r="D7" s="1">
        <v>61</v>
      </c>
      <c r="E7" s="1"/>
      <c r="F7" s="1">
        <v>73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2:21" x14ac:dyDescent="0.25">
      <c r="B8" s="1" t="s">
        <v>9</v>
      </c>
      <c r="C8" s="1" t="s">
        <v>96</v>
      </c>
      <c r="D8" s="1"/>
      <c r="E8" s="1">
        <v>84</v>
      </c>
      <c r="F8" s="1"/>
      <c r="G8" s="1">
        <v>79</v>
      </c>
      <c r="H8" s="1"/>
      <c r="I8" s="1">
        <v>47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2:21" x14ac:dyDescent="0.25">
      <c r="B9" s="1" t="s">
        <v>10</v>
      </c>
      <c r="C9" s="1" t="s">
        <v>89</v>
      </c>
      <c r="D9" s="1"/>
      <c r="E9" s="1"/>
      <c r="F9" s="1">
        <v>120</v>
      </c>
      <c r="G9" s="1"/>
      <c r="H9" s="1"/>
      <c r="I9" s="1">
        <v>89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2:21" x14ac:dyDescent="0.25">
      <c r="B10" s="1" t="s">
        <v>93</v>
      </c>
      <c r="C10" s="1" t="s">
        <v>90</v>
      </c>
      <c r="D10" s="1"/>
      <c r="E10" s="1"/>
      <c r="F10" s="1">
        <v>156</v>
      </c>
      <c r="G10" s="1">
        <v>42</v>
      </c>
      <c r="H10" s="1">
        <v>151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2:2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2:2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2:2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2:2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2:2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2:2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</sheetData>
  <mergeCells count="1">
    <mergeCell ref="C2:U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Шеншин Александр Андреевич</dc:creator>
  <cp:lastModifiedBy>Mozart</cp:lastModifiedBy>
  <dcterms:created xsi:type="dcterms:W3CDTF">2023-02-02T06:48:17Z</dcterms:created>
  <dcterms:modified xsi:type="dcterms:W3CDTF">2026-04-29T06:45:40Z</dcterms:modified>
</cp:coreProperties>
</file>