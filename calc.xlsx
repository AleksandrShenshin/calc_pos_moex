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3" l="1"/>
  <c r="D15" i="3"/>
  <c r="N7" i="3"/>
  <c r="N15" i="3" s="1"/>
  <c r="M7" i="3"/>
  <c r="M15" i="3" s="1"/>
  <c r="L7" i="3"/>
  <c r="L15" i="3" s="1"/>
  <c r="C4" i="3" l="1"/>
  <c r="G15" i="3" s="1"/>
  <c r="P7" i="3" l="1"/>
  <c r="O7" i="3"/>
  <c r="H8" i="3"/>
  <c r="H10" i="3"/>
  <c r="H11" i="3"/>
  <c r="H12" i="3"/>
  <c r="H13" i="3"/>
  <c r="H14" i="3"/>
  <c r="H17" i="3"/>
  <c r="H19" i="3"/>
  <c r="H20" i="3"/>
  <c r="H21" i="3"/>
  <c r="H22" i="3"/>
  <c r="H23" i="3"/>
  <c r="H24" i="3"/>
  <c r="H27" i="3"/>
  <c r="H28" i="3"/>
  <c r="H29" i="3"/>
  <c r="H31" i="3"/>
  <c r="H34" i="3"/>
  <c r="H36" i="3"/>
  <c r="H37" i="3"/>
  <c r="H39" i="3"/>
  <c r="H40" i="3"/>
  <c r="H41" i="3"/>
  <c r="H42" i="3"/>
  <c r="H43" i="3"/>
  <c r="H44" i="3"/>
  <c r="H48" i="3"/>
  <c r="H49" i="3"/>
  <c r="H50" i="3"/>
  <c r="H51" i="3"/>
  <c r="H47" i="3"/>
  <c r="H46" i="3"/>
  <c r="O6" i="3" l="1"/>
  <c r="O15" i="3"/>
  <c r="P6" i="3"/>
  <c r="P15" i="3"/>
  <c r="D44" i="3"/>
  <c r="G44" i="3" s="1"/>
  <c r="N6" i="3"/>
  <c r="K15" i="3" l="1"/>
  <c r="P44" i="3"/>
  <c r="O44" i="3"/>
  <c r="N44" i="3"/>
  <c r="M6" i="3" l="1"/>
  <c r="L6" i="3"/>
  <c r="M51" i="3" l="1"/>
  <c r="L44" i="3"/>
  <c r="M44" i="3"/>
  <c r="P8" i="3"/>
  <c r="P9" i="3"/>
  <c r="P13" i="3"/>
  <c r="P18" i="3"/>
  <c r="P22" i="3"/>
  <c r="P26" i="3"/>
  <c r="P30" i="3"/>
  <c r="P34" i="3"/>
  <c r="P38" i="3"/>
  <c r="P46" i="3"/>
  <c r="P27" i="3"/>
  <c r="P35" i="3"/>
  <c r="P42" i="3"/>
  <c r="P47" i="3"/>
  <c r="P48" i="3"/>
  <c r="P25" i="3"/>
  <c r="P37" i="3"/>
  <c r="P10" i="3"/>
  <c r="P14" i="3"/>
  <c r="P19" i="3"/>
  <c r="P23" i="3"/>
  <c r="P31" i="3"/>
  <c r="P39" i="3"/>
  <c r="P12" i="3"/>
  <c r="P21" i="3"/>
  <c r="P33" i="3"/>
  <c r="P45" i="3"/>
  <c r="P11" i="3"/>
  <c r="P16" i="3"/>
  <c r="P20" i="3"/>
  <c r="P24" i="3"/>
  <c r="P28" i="3"/>
  <c r="P32" i="3"/>
  <c r="P36" i="3"/>
  <c r="P40" i="3"/>
  <c r="P43" i="3"/>
  <c r="P17" i="3"/>
  <c r="P29" i="3"/>
  <c r="P41" i="3"/>
  <c r="O8" i="3"/>
  <c r="O9" i="3"/>
  <c r="O13" i="3"/>
  <c r="O18" i="3"/>
  <c r="O22" i="3"/>
  <c r="O26" i="3"/>
  <c r="O30" i="3"/>
  <c r="O34" i="3"/>
  <c r="O38" i="3"/>
  <c r="O46" i="3"/>
  <c r="O14" i="3"/>
  <c r="O19" i="3"/>
  <c r="O23" i="3"/>
  <c r="O27" i="3"/>
  <c r="O35" i="3"/>
  <c r="O39" i="3"/>
  <c r="O42" i="3"/>
  <c r="O47" i="3"/>
  <c r="O11" i="3"/>
  <c r="O16" i="3"/>
  <c r="O24" i="3"/>
  <c r="O32" i="3"/>
  <c r="O40" i="3"/>
  <c r="O48" i="3"/>
  <c r="O12" i="3"/>
  <c r="O21" i="3"/>
  <c r="O29" i="3"/>
  <c r="O37" i="3"/>
  <c r="O10" i="3"/>
  <c r="O31" i="3"/>
  <c r="O20" i="3"/>
  <c r="O36" i="3"/>
  <c r="O43" i="3"/>
  <c r="O17" i="3"/>
  <c r="O33" i="3"/>
  <c r="O41" i="3"/>
  <c r="O28" i="3"/>
  <c r="O25" i="3"/>
  <c r="O45" i="3"/>
  <c r="N8" i="3"/>
  <c r="N9" i="3"/>
  <c r="N13" i="3"/>
  <c r="N18" i="3"/>
  <c r="N22" i="3"/>
  <c r="N26" i="3"/>
  <c r="N30" i="3"/>
  <c r="N34" i="3"/>
  <c r="N38" i="3"/>
  <c r="N46" i="3"/>
  <c r="N10" i="3"/>
  <c r="N14" i="3"/>
  <c r="N19" i="3"/>
  <c r="N23" i="3"/>
  <c r="N27" i="3"/>
  <c r="N31" i="3"/>
  <c r="N35" i="3"/>
  <c r="N39" i="3"/>
  <c r="N42" i="3"/>
  <c r="N47" i="3"/>
  <c r="N11" i="3"/>
  <c r="N16" i="3"/>
  <c r="N20" i="3"/>
  <c r="N24" i="3"/>
  <c r="N28" i="3"/>
  <c r="N32" i="3"/>
  <c r="N36" i="3"/>
  <c r="N40" i="3"/>
  <c r="N43" i="3"/>
  <c r="N48" i="3"/>
  <c r="N12" i="3"/>
  <c r="N17" i="3"/>
  <c r="N21" i="3"/>
  <c r="N25" i="3"/>
  <c r="N29" i="3"/>
  <c r="N33" i="3"/>
  <c r="N37" i="3"/>
  <c r="N41" i="3"/>
  <c r="N45" i="3"/>
  <c r="K44" i="3" l="1"/>
  <c r="M8" i="3"/>
  <c r="M11" i="3"/>
  <c r="M16" i="3"/>
  <c r="M20" i="3"/>
  <c r="M24" i="3"/>
  <c r="M28" i="3"/>
  <c r="M32" i="3"/>
  <c r="M36" i="3"/>
  <c r="M40" i="3"/>
  <c r="M43" i="3"/>
  <c r="M48" i="3"/>
  <c r="M25" i="3"/>
  <c r="M33" i="3"/>
  <c r="M41" i="3"/>
  <c r="M45" i="3"/>
  <c r="M13" i="3"/>
  <c r="M18" i="3"/>
  <c r="M22" i="3"/>
  <c r="M30" i="3"/>
  <c r="M38" i="3"/>
  <c r="M14" i="3"/>
  <c r="M19" i="3"/>
  <c r="M27" i="3"/>
  <c r="M35" i="3"/>
  <c r="M42" i="3"/>
  <c r="M12" i="3"/>
  <c r="M17" i="3"/>
  <c r="M21" i="3"/>
  <c r="M29" i="3"/>
  <c r="M37" i="3"/>
  <c r="M26" i="3"/>
  <c r="M34" i="3"/>
  <c r="M46" i="3"/>
  <c r="M23" i="3"/>
  <c r="M31" i="3"/>
  <c r="M39" i="3"/>
  <c r="M47" i="3"/>
  <c r="M10" i="3"/>
  <c r="M9" i="3"/>
  <c r="L41" i="3"/>
  <c r="L45" i="3"/>
  <c r="L47" i="3"/>
  <c r="L48" i="3"/>
  <c r="L46" i="3"/>
  <c r="L42" i="3"/>
  <c r="L43" i="3"/>
  <c r="L11" i="3"/>
  <c r="L16" i="3"/>
  <c r="L20" i="3"/>
  <c r="L24" i="3"/>
  <c r="L28" i="3"/>
  <c r="L32" i="3"/>
  <c r="L36" i="3"/>
  <c r="L40" i="3"/>
  <c r="L12" i="3"/>
  <c r="L17" i="3"/>
  <c r="L21" i="3"/>
  <c r="L25" i="3"/>
  <c r="L29" i="3"/>
  <c r="L33" i="3"/>
  <c r="L37" i="3"/>
  <c r="L13" i="3"/>
  <c r="L18" i="3"/>
  <c r="L22" i="3"/>
  <c r="L26" i="3"/>
  <c r="L30" i="3"/>
  <c r="L34" i="3"/>
  <c r="L38" i="3"/>
  <c r="L14" i="3"/>
  <c r="L19" i="3"/>
  <c r="L23" i="3"/>
  <c r="L27" i="3"/>
  <c r="L31" i="3"/>
  <c r="L35" i="3"/>
  <c r="L39" i="3"/>
  <c r="L8" i="3"/>
  <c r="L10" i="3"/>
  <c r="L9" i="3"/>
  <c r="D47" i="3"/>
  <c r="K43" i="3" l="1"/>
  <c r="K14" i="3"/>
  <c r="K19" i="3"/>
  <c r="K24" i="3"/>
  <c r="K48" i="3"/>
  <c r="K17" i="3"/>
  <c r="K42" i="3"/>
  <c r="K40" i="3"/>
  <c r="K22" i="3"/>
  <c r="K29" i="3"/>
  <c r="K18" i="3"/>
  <c r="K33" i="3"/>
  <c r="K8" i="3"/>
  <c r="K47" i="3"/>
  <c r="K35" i="3"/>
  <c r="K26" i="3"/>
  <c r="K31" i="3"/>
  <c r="K30" i="3"/>
  <c r="K37" i="3"/>
  <c r="K13" i="3"/>
  <c r="K25" i="3"/>
  <c r="K10" i="3"/>
  <c r="K23" i="3"/>
  <c r="K12" i="3"/>
  <c r="K41" i="3"/>
  <c r="K28" i="3"/>
  <c r="K11" i="3"/>
  <c r="K9" i="3"/>
  <c r="K27" i="3"/>
  <c r="K32" i="3"/>
  <c r="K16" i="3"/>
  <c r="K46" i="3"/>
  <c r="K20" i="3"/>
  <c r="K21" i="3"/>
  <c r="K39" i="3"/>
  <c r="K38" i="3"/>
  <c r="K34" i="3"/>
  <c r="K36" i="3"/>
  <c r="K45" i="3"/>
  <c r="D39" i="3"/>
  <c r="G39" i="3" l="1"/>
  <c r="G47" i="3"/>
  <c r="D51" i="3"/>
  <c r="D50" i="3"/>
  <c r="D43" i="3"/>
  <c r="D49" i="3" l="1"/>
  <c r="G43" i="3" l="1"/>
  <c r="G51" i="3"/>
  <c r="G50" i="3"/>
  <c r="G49" i="3"/>
  <c r="D27" i="3"/>
  <c r="D37" i="3" l="1"/>
  <c r="D29" i="3" l="1"/>
  <c r="G27" i="3" l="1"/>
  <c r="G37" i="3" l="1"/>
  <c r="G29" i="3"/>
  <c r="D38" i="3"/>
  <c r="H38" i="3" s="1"/>
  <c r="D12" i="3" l="1"/>
  <c r="D33" i="3"/>
  <c r="H33" i="3" s="1"/>
  <c r="D25" i="3" l="1"/>
  <c r="H25" i="3" s="1"/>
  <c r="D36" i="3" l="1"/>
  <c r="D14" i="3" l="1"/>
  <c r="D31" i="3" l="1"/>
  <c r="D41" i="3"/>
  <c r="D35" i="3"/>
  <c r="H35" i="3" s="1"/>
  <c r="D40" i="3"/>
  <c r="D46" i="3"/>
  <c r="D30" i="3" l="1"/>
  <c r="H30" i="3" s="1"/>
  <c r="D10" i="3"/>
  <c r="D16" i="3"/>
  <c r="H16" i="3" s="1"/>
  <c r="D18" i="3" l="1"/>
  <c r="H18" i="3" s="1"/>
  <c r="D28" i="3" l="1"/>
  <c r="D21" i="3"/>
  <c r="D42" i="3"/>
  <c r="D17" i="3"/>
  <c r="D13" i="3"/>
  <c r="D32" i="3" l="1"/>
  <c r="H32" i="3" s="1"/>
  <c r="D34" i="3"/>
  <c r="D8" i="3" l="1"/>
  <c r="D22" i="3" l="1"/>
  <c r="D45" i="3" l="1"/>
  <c r="H45" i="3" s="1"/>
  <c r="D11" i="3"/>
  <c r="D23" i="3"/>
  <c r="D48" i="3"/>
  <c r="D19" i="3"/>
  <c r="D26" i="3"/>
  <c r="H26" i="3" s="1"/>
  <c r="D24" i="3"/>
  <c r="D20" i="3"/>
  <c r="D9" i="3"/>
  <c r="H9" i="3" s="1"/>
  <c r="G25" i="3" l="1"/>
  <c r="G38" i="3"/>
  <c r="G12" i="3"/>
  <c r="G33" i="3"/>
  <c r="G36" i="3"/>
  <c r="G14" i="3"/>
  <c r="G18" i="3"/>
  <c r="G35" i="3"/>
  <c r="G41" i="3"/>
  <c r="G40" i="3"/>
  <c r="G46" i="3"/>
  <c r="G31" i="3"/>
  <c r="G10" i="3"/>
  <c r="G30" i="3"/>
  <c r="G16" i="3"/>
  <c r="G28" i="3"/>
  <c r="G17" i="3"/>
  <c r="G42" i="3"/>
  <c r="G21" i="3"/>
  <c r="G13" i="3"/>
  <c r="G32" i="3"/>
  <c r="G34" i="3"/>
  <c r="G48" i="3"/>
  <c r="G23" i="3"/>
  <c r="G19" i="3"/>
  <c r="G20" i="3"/>
  <c r="G26" i="3"/>
  <c r="G11" i="3"/>
  <c r="G8" i="3"/>
  <c r="G22" i="3"/>
  <c r="G9" i="3"/>
  <c r="G24" i="3"/>
  <c r="G45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<sst xmlns="http://schemas.openxmlformats.org/spreadsheetml/2006/main" count="123" uniqueCount="84">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</sst>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1"/>
  <sheetViews>
    <sheetView tabSelected="1" topLeftCell="B1" workbookViewId="0">
      <pane ySplit="7" topLeftCell="A29" activePane="bottomLeft" state="frozen"/>
      <selection pane="bottomLeft" activeCell="D3" sqref="D3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140000</v>
      </c>
    </row>
    <row r="4" spans="2:21" x14ac:dyDescent="0.25">
      <c r="B4" s="1" t="s">
        <v>75</v>
      </c>
      <c r="C4" s="31">
        <f>C3*1.2/100</f>
        <v>1680</v>
      </c>
      <c r="D4" s="32"/>
    </row>
    <row r="6" spans="2:21" x14ac:dyDescent="0.25">
      <c r="L6" s="5" t="str">
        <f ca="1">TEXT(L7,"ддд")</f>
        <v>Пт</v>
      </c>
      <c r="M6" s="5" t="str">
        <f ca="1">TEXT(M7,"ддд")</f>
        <v>Чт</v>
      </c>
      <c r="N6" s="5" t="str">
        <f t="shared" ref="N6:P6" ca="1" si="0">TEXT(N7,"ддд")</f>
        <v>Ср</v>
      </c>
      <c r="O6" s="5" t="str">
        <f t="shared" ca="1" si="0"/>
        <v>Вт</v>
      </c>
      <c r="P6" s="5" t="str">
        <f t="shared" ca="1" si="0"/>
        <v>Пн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TEXT(TODAY()-3, "ГГГГ-ММ-ДД")</f>
        <v>2026-02-06</v>
      </c>
      <c r="M7" s="1" t="str">
        <f ca="1">TEXT(TODAY()-4, "ГГГГ-ММ-ДД")</f>
        <v>2026-02-05</v>
      </c>
      <c r="N7" s="1" t="str">
        <f ca="1">TEXT(TODAY()-5, "ГГГГ-ММ-ДД")</f>
        <v>2026-02-04</v>
      </c>
      <c r="O7" s="1" t="str">
        <f ca="1">TEXT(TODAY()-6, "ГГГГ-ММ-ДД")</f>
        <v>2026-02-03</v>
      </c>
      <c r="P7" s="1" t="str">
        <f ca="1">TEXT(TODAY()-7, "ГГГГ-ММ-ДД")</f>
        <v>2026-02-02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0.6</v>
      </c>
      <c r="D8" s="25">
        <f t="shared" ref="D8:D26" si="1">C8/10</f>
        <v>0.06</v>
      </c>
      <c r="E8" s="22">
        <v>1E-3</v>
      </c>
      <c r="F8" s="22">
        <v>0.1</v>
      </c>
      <c r="G8" s="26">
        <f t="shared" ref="G8:G26" si="2">ROUND($C$4/(D8/E8*F8),0)</f>
        <v>280</v>
      </c>
      <c r="H8" s="22">
        <f t="shared" ref="H8:H17" si="3">ROUND(D8/E8,0)</f>
        <v>60</v>
      </c>
      <c r="I8" s="23"/>
      <c r="J8" s="30"/>
      <c r="K8">
        <f ca="1">ROUND(AVERAGE(L8:P8),2)</f>
        <v>-18493.16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-46355.578000000001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0.41499999999999915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0.41400000000000148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0.24000000000000021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-46111.281000000003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1355</v>
      </c>
      <c r="H9" s="22">
        <f t="shared" si="3"/>
        <v>12</v>
      </c>
      <c r="I9" s="23"/>
      <c r="J9" s="30">
        <v>46062</v>
      </c>
      <c r="K9">
        <f ca="1">ROUND(AVERAGE(L9:P9),2)</f>
        <v>1.24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1.0799999999999983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0.72999999999999687</v>
      </c>
      <c r="N9">
        <f t="shared" ref="N9:N48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1.9699999999999989</v>
      </c>
      <c r="O9">
        <f t="shared" ref="O9:O48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1.4200000000000017</v>
      </c>
      <c r="P9">
        <f t="shared" ref="P9:P48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1.009999999999998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1400</v>
      </c>
      <c r="H10" s="22">
        <f t="shared" si="3"/>
        <v>12</v>
      </c>
      <c r="I10" s="24"/>
      <c r="K10">
        <f ca="1">ROUND(AVERAGE(L10:P10),2)</f>
        <v>0.75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0.81000000000000227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0.82000000000000028</v>
      </c>
      <c r="N10">
        <f t="shared" ca="1" si="4"/>
        <v>0.96999999999999886</v>
      </c>
      <c r="O10">
        <f t="shared" ca="1" si="5"/>
        <v>0.44000000000000483</v>
      </c>
      <c r="P10">
        <f t="shared" ca="1" si="6"/>
        <v>0.71000000000000085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336</v>
      </c>
      <c r="H11" s="22">
        <f t="shared" si="3"/>
        <v>25</v>
      </c>
      <c r="I11" s="23"/>
      <c r="K11">
        <f t="shared" ref="K11:K48" ca="1" si="7">ROUND(AVERAGE(L11:P11),2)</f>
        <v>18.64</v>
      </c>
      <c r="L11">
        <f t="shared" ref="L11:L48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13</v>
      </c>
      <c r="M11">
        <f t="shared" ref="M11:M48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20.200000000000045</v>
      </c>
      <c r="N11">
        <f t="shared" ca="1" si="4"/>
        <v>17.200000000000045</v>
      </c>
      <c r="O11">
        <f t="shared" ca="1" si="5"/>
        <v>22</v>
      </c>
      <c r="P11">
        <f t="shared" ca="1" si="6"/>
        <v>20.799999999999955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8" si="10">C12/10</f>
        <v>0.32200000000000001</v>
      </c>
      <c r="E12" s="22">
        <v>0.01</v>
      </c>
      <c r="F12" s="22">
        <v>0.1</v>
      </c>
      <c r="G12" s="26">
        <f t="shared" ref="G12:G18" si="11">ROUND($C$4/(D12/E12*F12),0)</f>
        <v>522</v>
      </c>
      <c r="H12" s="22">
        <f t="shared" si="3"/>
        <v>32</v>
      </c>
      <c r="I12" s="24"/>
      <c r="K12">
        <f t="shared" ca="1" si="7"/>
        <v>1.66</v>
      </c>
      <c r="L12">
        <f t="shared" ca="1" si="8"/>
        <v>2.75</v>
      </c>
      <c r="M12">
        <f t="shared" ca="1" si="9"/>
        <v>1.2099999999999937</v>
      </c>
      <c r="N12">
        <f t="shared" ca="1" si="4"/>
        <v>1.8599999999999994</v>
      </c>
      <c r="O12">
        <f t="shared" ca="1" si="5"/>
        <v>0.71000000000000796</v>
      </c>
      <c r="P12">
        <f t="shared" ca="1" si="6"/>
        <v>1.7800000000000011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3111</v>
      </c>
      <c r="H13" s="22">
        <f t="shared" si="3"/>
        <v>11</v>
      </c>
      <c r="I13" s="23"/>
      <c r="K13">
        <f t="shared" ca="1" si="7"/>
        <v>2.69</v>
      </c>
      <c r="L13">
        <f t="shared" ca="1" si="8"/>
        <v>3.1500000000000057</v>
      </c>
      <c r="M13">
        <f t="shared" ca="1" si="9"/>
        <v>3</v>
      </c>
      <c r="N13">
        <f t="shared" ca="1" si="4"/>
        <v>2.3499999999999943</v>
      </c>
      <c r="O13">
        <f t="shared" ca="1" si="5"/>
        <v>2.2999999999999829</v>
      </c>
      <c r="P13">
        <f t="shared" ca="1" si="6"/>
        <v>2.6500000000000057</v>
      </c>
      <c r="R13" s="1"/>
      <c r="S13" s="1"/>
      <c r="T13" s="1"/>
      <c r="U13" s="1"/>
    </row>
    <row r="14" spans="2:21" x14ac:dyDescent="0.2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933</v>
      </c>
      <c r="H14" s="22">
        <f t="shared" si="3"/>
        <v>18</v>
      </c>
      <c r="I14" s="24"/>
      <c r="J14" s="30">
        <v>46058</v>
      </c>
      <c r="K14">
        <f t="shared" ca="1" si="7"/>
        <v>1.89</v>
      </c>
      <c r="L14">
        <f t="shared" ca="1" si="8"/>
        <v>1.25</v>
      </c>
      <c r="M14">
        <f t="shared" ca="1" si="9"/>
        <v>2.5300000000000011</v>
      </c>
      <c r="N14">
        <f t="shared" ca="1" si="4"/>
        <v>2.1999999999999886</v>
      </c>
      <c r="O14">
        <f t="shared" ca="1" si="5"/>
        <v>1.5799999999999983</v>
      </c>
      <c r="P14">
        <f t="shared" ca="1" si="6"/>
        <v>1.8800000000000097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83</v>
      </c>
      <c r="C15" s="22">
        <v>1.8600000000000001E-3</v>
      </c>
      <c r="D15" s="25">
        <f t="shared" si="10"/>
        <v>1.8600000000000002E-4</v>
      </c>
      <c r="E15" s="22">
        <v>2.0000000000000002E-5</v>
      </c>
      <c r="F15" s="22">
        <v>0.2</v>
      </c>
      <c r="G15" s="26">
        <f t="shared" si="11"/>
        <v>903</v>
      </c>
      <c r="H15" s="22">
        <f t="shared" si="3"/>
        <v>9</v>
      </c>
      <c r="I15" s="24"/>
      <c r="J15" s="30">
        <v>46062</v>
      </c>
      <c r="K15">
        <f ca="1">ROUND(AVERAGE(L15:P15),5)</f>
        <v>1.8600000000000001E-3</v>
      </c>
      <c r="L15">
        <f t="shared" ca="1" si="8"/>
        <v>1.6599999999999948E-3</v>
      </c>
      <c r="M15">
        <f t="shared" ca="1" si="9"/>
        <v>1.9600000000000034E-3</v>
      </c>
      <c r="N15">
        <f t="shared" ca="1" si="4"/>
        <v>2.8599999999999876E-3</v>
      </c>
      <c r="O15">
        <f t="shared" ca="1" si="5"/>
        <v>1.5399999999999997E-3</v>
      </c>
      <c r="P15">
        <f t="shared" ca="1" si="6"/>
        <v>1.2999999999999956E-3</v>
      </c>
      <c r="R15" s="25"/>
      <c r="S15" s="25"/>
      <c r="T15" s="29"/>
      <c r="U15" s="1"/>
    </row>
    <row r="16" spans="2:21" x14ac:dyDescent="0.25">
      <c r="B16" s="22" t="s">
        <v>56</v>
      </c>
      <c r="C16" s="22">
        <v>6.6</v>
      </c>
      <c r="D16" s="25">
        <f t="shared" si="10"/>
        <v>0.65999999999999992</v>
      </c>
      <c r="E16" s="22">
        <v>0.02</v>
      </c>
      <c r="F16" s="22">
        <v>0.2</v>
      </c>
      <c r="G16" s="26">
        <f t="shared" si="11"/>
        <v>255</v>
      </c>
      <c r="H16" s="22">
        <f t="shared" si="3"/>
        <v>33</v>
      </c>
      <c r="I16" s="24"/>
      <c r="J16" s="30">
        <v>46058</v>
      </c>
      <c r="K16">
        <f t="shared" ca="1" si="7"/>
        <v>5.14</v>
      </c>
      <c r="L16">
        <f t="shared" ca="1" si="8"/>
        <v>5.039999999999992</v>
      </c>
      <c r="M16">
        <f t="shared" ca="1" si="9"/>
        <v>4.2800000000000011</v>
      </c>
      <c r="N16">
        <f t="shared" ca="1" si="4"/>
        <v>7.2400000000000091</v>
      </c>
      <c r="O16">
        <f t="shared" ca="1" si="5"/>
        <v>2.8000000000000114</v>
      </c>
      <c r="P16">
        <f t="shared" ca="1" si="6"/>
        <v>6.3600000000000136</v>
      </c>
      <c r="R16" s="25">
        <v>-211</v>
      </c>
      <c r="S16" s="25">
        <v>-701</v>
      </c>
      <c r="T16" s="1"/>
      <c r="U16" s="1"/>
    </row>
    <row r="17" spans="2:21" x14ac:dyDescent="0.25">
      <c r="B17" s="22" t="s">
        <v>51</v>
      </c>
      <c r="C17" s="22">
        <v>7.85E-2</v>
      </c>
      <c r="D17" s="25">
        <f t="shared" si="10"/>
        <v>7.8499999999999993E-3</v>
      </c>
      <c r="E17" s="22">
        <v>5.0000000000000001E-4</v>
      </c>
      <c r="F17" s="22">
        <v>0.05</v>
      </c>
      <c r="G17" s="26">
        <f t="shared" si="11"/>
        <v>2140</v>
      </c>
      <c r="H17" s="22">
        <f t="shared" si="3"/>
        <v>16</v>
      </c>
      <c r="I17" s="24"/>
      <c r="K17">
        <f t="shared" ca="1" si="7"/>
        <v>110534.35</v>
      </c>
      <c r="L17">
        <f t="shared" ca="1" si="8"/>
        <v>-787828</v>
      </c>
      <c r="M17">
        <f t="shared" ca="1" si="9"/>
        <v>1104916.6140000001</v>
      </c>
      <c r="N17">
        <f t="shared" ca="1" si="4"/>
        <v>0.11499999999999977</v>
      </c>
      <c r="O17">
        <f t="shared" ca="1" si="5"/>
        <v>-1131886</v>
      </c>
      <c r="P17">
        <f t="shared" ca="1" si="6"/>
        <v>1367469</v>
      </c>
      <c r="R17" s="1"/>
      <c r="S17" s="25">
        <v>-488</v>
      </c>
      <c r="T17" s="1"/>
      <c r="U17" s="1"/>
    </row>
    <row r="18" spans="2:21" x14ac:dyDescent="0.25">
      <c r="B18" s="22" t="s">
        <v>55</v>
      </c>
      <c r="C18" s="22">
        <v>80</v>
      </c>
      <c r="D18" s="25">
        <f t="shared" si="10"/>
        <v>8</v>
      </c>
      <c r="E18" s="22">
        <v>0.5</v>
      </c>
      <c r="F18" s="22">
        <v>0.5</v>
      </c>
      <c r="G18" s="26">
        <f t="shared" si="11"/>
        <v>210</v>
      </c>
      <c r="H18" s="22">
        <f t="shared" ref="H18:H42" si="12">ROUND(D18/E18,0)</f>
        <v>16</v>
      </c>
      <c r="I18" s="24"/>
      <c r="J18" s="30"/>
      <c r="K18">
        <f t="shared" ca="1" si="7"/>
        <v>78.400000000000006</v>
      </c>
      <c r="L18">
        <f t="shared" ca="1" si="8"/>
        <v>54</v>
      </c>
      <c r="M18">
        <f t="shared" ca="1" si="9"/>
        <v>105.5</v>
      </c>
      <c r="N18">
        <f t="shared" ca="1" si="4"/>
        <v>93.5</v>
      </c>
      <c r="O18">
        <f t="shared" ca="1" si="5"/>
        <v>68</v>
      </c>
      <c r="P18">
        <f t="shared" ca="1" si="6"/>
        <v>71</v>
      </c>
      <c r="R18" s="25">
        <v>-741</v>
      </c>
      <c r="S18" s="25">
        <v>-475</v>
      </c>
      <c r="T18" s="29">
        <v>34</v>
      </c>
      <c r="U18" s="1"/>
    </row>
    <row r="19" spans="2:21" x14ac:dyDescent="0.25">
      <c r="B19" s="1" t="s">
        <v>38</v>
      </c>
      <c r="C19" s="1">
        <v>1.4</v>
      </c>
      <c r="D19" s="25">
        <f t="shared" si="1"/>
        <v>0.13999999999999999</v>
      </c>
      <c r="E19" s="1">
        <v>5.0000000000000001E-3</v>
      </c>
      <c r="F19" s="1">
        <v>0.05</v>
      </c>
      <c r="G19" s="26">
        <f t="shared" si="2"/>
        <v>1200</v>
      </c>
      <c r="H19" s="22">
        <f t="shared" si="12"/>
        <v>28</v>
      </c>
      <c r="I19" s="23"/>
      <c r="K19">
        <f t="shared" ca="1" si="7"/>
        <v>1.24</v>
      </c>
      <c r="L19">
        <f t="shared" ca="1" si="8"/>
        <v>1.1799999999999997</v>
      </c>
      <c r="M19">
        <f t="shared" ca="1" si="9"/>
        <v>0.82500000000000284</v>
      </c>
      <c r="N19">
        <f t="shared" ca="1" si="4"/>
        <v>1.1449999999999996</v>
      </c>
      <c r="O19">
        <f t="shared" ca="1" si="5"/>
        <v>1.4400000000000013</v>
      </c>
      <c r="P19">
        <f t="shared" ca="1" si="6"/>
        <v>1.615000000000002</v>
      </c>
      <c r="R19" s="25">
        <v>-107</v>
      </c>
      <c r="S19" s="25">
        <v>-169</v>
      </c>
      <c r="T19" s="29">
        <v>24</v>
      </c>
      <c r="U19" s="1"/>
    </row>
    <row r="20" spans="2:21" x14ac:dyDescent="0.25">
      <c r="B20" s="1" t="s">
        <v>41</v>
      </c>
      <c r="C20" s="1">
        <v>150</v>
      </c>
      <c r="D20" s="25">
        <f t="shared" si="1"/>
        <v>15</v>
      </c>
      <c r="E20" s="1">
        <v>0.5</v>
      </c>
      <c r="F20" s="1">
        <v>0.5</v>
      </c>
      <c r="G20" s="26">
        <f t="shared" si="2"/>
        <v>112</v>
      </c>
      <c r="H20" s="22">
        <f t="shared" si="12"/>
        <v>30</v>
      </c>
      <c r="I20" s="23"/>
      <c r="J20" s="30"/>
      <c r="K20">
        <f t="shared" ca="1" si="7"/>
        <v>92</v>
      </c>
      <c r="L20">
        <f t="shared" ca="1" si="8"/>
        <v>135.5</v>
      </c>
      <c r="M20">
        <f t="shared" ca="1" si="9"/>
        <v>106.5</v>
      </c>
      <c r="N20">
        <f t="shared" ca="1" si="4"/>
        <v>89</v>
      </c>
      <c r="O20">
        <f t="shared" ca="1" si="5"/>
        <v>41</v>
      </c>
      <c r="P20">
        <f t="shared" ca="1" si="6"/>
        <v>88</v>
      </c>
      <c r="R20" s="29">
        <v>45</v>
      </c>
      <c r="S20" s="29">
        <v>10</v>
      </c>
      <c r="T20" s="29">
        <v>44</v>
      </c>
      <c r="U20" s="1"/>
    </row>
    <row r="21" spans="2:21" x14ac:dyDescent="0.25">
      <c r="B21" s="22" t="s">
        <v>53</v>
      </c>
      <c r="C21" s="22">
        <v>5.7</v>
      </c>
      <c r="D21" s="25">
        <f>C21/10</f>
        <v>0.57000000000000006</v>
      </c>
      <c r="E21" s="22">
        <v>0.01</v>
      </c>
      <c r="F21" s="22">
        <v>0.1</v>
      </c>
      <c r="G21" s="26">
        <f>ROUND($C$4/(D21/E21*F21),0)</f>
        <v>295</v>
      </c>
      <c r="H21" s="22">
        <f t="shared" si="12"/>
        <v>57</v>
      </c>
      <c r="I21" s="24"/>
      <c r="J21" s="30"/>
      <c r="K21">
        <f t="shared" ca="1" si="7"/>
        <v>5.48</v>
      </c>
      <c r="L21">
        <f t="shared" ca="1" si="8"/>
        <v>3.3300000000000125</v>
      </c>
      <c r="M21">
        <f t="shared" ca="1" si="9"/>
        <v>5.5</v>
      </c>
      <c r="N21">
        <f t="shared" ca="1" si="4"/>
        <v>7.0700000000000216</v>
      </c>
      <c r="O21">
        <f t="shared" ca="1" si="5"/>
        <v>8.1500000000000057</v>
      </c>
      <c r="P21">
        <f t="shared" ca="1" si="6"/>
        <v>3.3300000000000125</v>
      </c>
      <c r="R21" s="25">
        <v>-146</v>
      </c>
      <c r="S21" s="25">
        <v>-28</v>
      </c>
      <c r="T21" s="29">
        <v>31</v>
      </c>
      <c r="U21" s="1"/>
    </row>
    <row r="22" spans="2:21" x14ac:dyDescent="0.25">
      <c r="B22" s="22" t="s">
        <v>45</v>
      </c>
      <c r="C22" s="22">
        <v>6.5</v>
      </c>
      <c r="D22" s="25">
        <f t="shared" si="1"/>
        <v>0.65</v>
      </c>
      <c r="E22" s="22">
        <v>0.01</v>
      </c>
      <c r="F22" s="22">
        <v>0.01</v>
      </c>
      <c r="G22" s="26">
        <f t="shared" si="2"/>
        <v>2585</v>
      </c>
      <c r="H22" s="22">
        <f t="shared" si="12"/>
        <v>65</v>
      </c>
      <c r="I22" s="23"/>
      <c r="J22" s="30"/>
      <c r="K22">
        <f t="shared" ca="1" si="7"/>
        <v>1.77</v>
      </c>
      <c r="L22">
        <f t="shared" ca="1" si="8"/>
        <v>2.6300000000000097</v>
      </c>
      <c r="M22">
        <f t="shared" ca="1" si="9"/>
        <v>1.480000000000004</v>
      </c>
      <c r="N22">
        <f t="shared" ca="1" si="4"/>
        <v>1.8200000000000074</v>
      </c>
      <c r="O22">
        <f t="shared" ca="1" si="5"/>
        <v>1.2700000000000102</v>
      </c>
      <c r="P22">
        <f t="shared" ca="1" si="6"/>
        <v>1.6300000000000097</v>
      </c>
      <c r="R22" s="25">
        <v>-6</v>
      </c>
      <c r="S22" s="29">
        <v>142</v>
      </c>
      <c r="T22" s="29">
        <v>62</v>
      </c>
      <c r="U22" s="1"/>
    </row>
    <row r="23" spans="2:21" x14ac:dyDescent="0.25">
      <c r="B23" s="1" t="s">
        <v>36</v>
      </c>
      <c r="C23" s="1">
        <v>6</v>
      </c>
      <c r="D23" s="25">
        <f t="shared" si="1"/>
        <v>0.6</v>
      </c>
      <c r="E23" s="1">
        <v>0.05</v>
      </c>
      <c r="F23" s="1">
        <v>0.5</v>
      </c>
      <c r="G23" s="26">
        <f t="shared" si="2"/>
        <v>280</v>
      </c>
      <c r="H23" s="22">
        <f t="shared" si="12"/>
        <v>12</v>
      </c>
      <c r="I23" s="23"/>
      <c r="K23">
        <f t="shared" ca="1" si="7"/>
        <v>4.01</v>
      </c>
      <c r="L23">
        <f t="shared" ca="1" si="8"/>
        <v>3.3499999999999943</v>
      </c>
      <c r="M23">
        <f t="shared" ca="1" si="9"/>
        <v>5.25</v>
      </c>
      <c r="N23">
        <f t="shared" ca="1" si="4"/>
        <v>3.5499999999999829</v>
      </c>
      <c r="O23">
        <f t="shared" ca="1" si="5"/>
        <v>3.5999999999999943</v>
      </c>
      <c r="P23">
        <f t="shared" ca="1" si="6"/>
        <v>4.2999999999999829</v>
      </c>
      <c r="R23" s="25">
        <v>-149</v>
      </c>
      <c r="S23" s="29">
        <v>46</v>
      </c>
      <c r="T23" s="29">
        <v>59</v>
      </c>
      <c r="U23" s="1"/>
    </row>
    <row r="24" spans="2:21" x14ac:dyDescent="0.25">
      <c r="B24" s="1" t="s">
        <v>42</v>
      </c>
      <c r="C24" s="1">
        <v>4</v>
      </c>
      <c r="D24" s="25">
        <f t="shared" si="1"/>
        <v>0.4</v>
      </c>
      <c r="E24" s="1">
        <v>0.02</v>
      </c>
      <c r="F24" s="1">
        <v>0.2</v>
      </c>
      <c r="G24" s="26">
        <f t="shared" si="2"/>
        <v>420</v>
      </c>
      <c r="H24" s="22">
        <f t="shared" si="12"/>
        <v>20</v>
      </c>
      <c r="I24" s="23"/>
      <c r="J24" s="30"/>
      <c r="K24">
        <f t="shared" ca="1" si="7"/>
        <v>3.25</v>
      </c>
      <c r="L24">
        <f t="shared" ca="1" si="8"/>
        <v>1.9000000000000057</v>
      </c>
      <c r="M24">
        <f t="shared" ca="1" si="9"/>
        <v>3.019999999999996</v>
      </c>
      <c r="N24">
        <f t="shared" ca="1" si="4"/>
        <v>3.980000000000004</v>
      </c>
      <c r="O24">
        <f t="shared" ca="1" si="5"/>
        <v>3.4399999999999977</v>
      </c>
      <c r="P24">
        <f t="shared" ca="1" si="6"/>
        <v>3.9200000000000017</v>
      </c>
      <c r="R24" s="29">
        <v>23</v>
      </c>
      <c r="S24" s="29">
        <v>241</v>
      </c>
      <c r="T24" s="29">
        <v>13</v>
      </c>
      <c r="U24" s="1"/>
    </row>
    <row r="25" spans="2:21" x14ac:dyDescent="0.25">
      <c r="B25" s="22" t="s">
        <v>66</v>
      </c>
      <c r="C25" s="22">
        <v>20</v>
      </c>
      <c r="D25" s="25">
        <f>C25/10</f>
        <v>2</v>
      </c>
      <c r="E25" s="22">
        <v>0.1</v>
      </c>
      <c r="F25" s="22">
        <v>0.1</v>
      </c>
      <c r="G25" s="26">
        <f>ROUND($C$4/(D25/E25*F25),0)</f>
        <v>840</v>
      </c>
      <c r="H25" s="22">
        <f t="shared" si="12"/>
        <v>20</v>
      </c>
      <c r="I25" s="24"/>
      <c r="J25" s="30">
        <v>46062</v>
      </c>
      <c r="K25">
        <f t="shared" ca="1" si="7"/>
        <v>20.46</v>
      </c>
      <c r="L25">
        <f t="shared" ca="1" si="8"/>
        <v>15.5</v>
      </c>
      <c r="M25">
        <f t="shared" ca="1" si="9"/>
        <v>32.599999999999909</v>
      </c>
      <c r="N25">
        <f t="shared" ca="1" si="4"/>
        <v>25.5</v>
      </c>
      <c r="O25">
        <f t="shared" ca="1" si="5"/>
        <v>15.900000000000091</v>
      </c>
      <c r="P25">
        <f t="shared" ca="1" si="6"/>
        <v>12.799999999999955</v>
      </c>
      <c r="R25" s="1"/>
      <c r="S25" s="29">
        <v>55</v>
      </c>
      <c r="T25" s="1"/>
      <c r="U25" s="1"/>
    </row>
    <row r="26" spans="2:21" x14ac:dyDescent="0.25">
      <c r="B26" s="1" t="s">
        <v>39</v>
      </c>
      <c r="C26" s="1">
        <v>125.5</v>
      </c>
      <c r="D26" s="25">
        <f t="shared" si="1"/>
        <v>12.55</v>
      </c>
      <c r="E26" s="1">
        <v>0.5</v>
      </c>
      <c r="F26" s="1">
        <v>0.5</v>
      </c>
      <c r="G26" s="26">
        <f t="shared" si="2"/>
        <v>134</v>
      </c>
      <c r="H26" s="22">
        <f t="shared" si="12"/>
        <v>25</v>
      </c>
      <c r="I26" s="23"/>
      <c r="J26" s="30">
        <v>46058</v>
      </c>
      <c r="K26">
        <f t="shared" ca="1" si="7"/>
        <v>128.1</v>
      </c>
      <c r="L26">
        <f t="shared" ca="1" si="8"/>
        <v>126.5</v>
      </c>
      <c r="M26">
        <f t="shared" ca="1" si="9"/>
        <v>163</v>
      </c>
      <c r="N26">
        <f t="shared" ca="1" si="4"/>
        <v>88.5</v>
      </c>
      <c r="O26">
        <f t="shared" ca="1" si="5"/>
        <v>110.5</v>
      </c>
      <c r="P26">
        <f t="shared" ca="1" si="6"/>
        <v>152</v>
      </c>
      <c r="R26" s="25">
        <v>-6</v>
      </c>
      <c r="S26" s="25">
        <v>-340</v>
      </c>
      <c r="T26" s="29">
        <v>22</v>
      </c>
      <c r="U26" s="1"/>
    </row>
    <row r="27" spans="2:21" x14ac:dyDescent="0.25">
      <c r="B27" s="22" t="s">
        <v>72</v>
      </c>
      <c r="C27" s="22">
        <v>140</v>
      </c>
      <c r="D27" s="25">
        <f>C27/10</f>
        <v>14</v>
      </c>
      <c r="E27" s="22">
        <v>0.2</v>
      </c>
      <c r="F27" s="22">
        <v>0.2</v>
      </c>
      <c r="G27" s="26">
        <f>ROUND($C$4/(D27/E27*F27),0)</f>
        <v>120</v>
      </c>
      <c r="H27" s="22">
        <f t="shared" si="12"/>
        <v>70</v>
      </c>
      <c r="I27" s="24"/>
      <c r="K27">
        <f t="shared" ca="1" si="7"/>
        <v>41.92</v>
      </c>
      <c r="L27">
        <f t="shared" ca="1" si="8"/>
        <v>24</v>
      </c>
      <c r="M27">
        <f t="shared" ca="1" si="9"/>
        <v>53.200000000000045</v>
      </c>
      <c r="N27">
        <f t="shared" ca="1" si="4"/>
        <v>55.799999999999955</v>
      </c>
      <c r="O27">
        <f t="shared" ca="1" si="5"/>
        <v>23.599999999999909</v>
      </c>
      <c r="P27">
        <f t="shared" ca="1" si="6"/>
        <v>53</v>
      </c>
      <c r="R27" s="1"/>
      <c r="S27" s="25">
        <v>-426</v>
      </c>
      <c r="T27" s="1"/>
      <c r="U27" s="1"/>
    </row>
    <row r="28" spans="2:21" x14ac:dyDescent="0.25">
      <c r="B28" s="22" t="s">
        <v>54</v>
      </c>
      <c r="C28" s="22">
        <v>112</v>
      </c>
      <c r="D28" s="25">
        <f t="shared" ref="D28:D41" si="13">C28/10</f>
        <v>11.2</v>
      </c>
      <c r="E28" s="22">
        <v>1</v>
      </c>
      <c r="F28" s="22">
        <v>1</v>
      </c>
      <c r="G28" s="26">
        <f t="shared" ref="G28:G41" si="14">ROUND($C$4/(D28/E28*F28),0)</f>
        <v>150</v>
      </c>
      <c r="H28" s="22">
        <f t="shared" si="12"/>
        <v>11</v>
      </c>
      <c r="I28" s="24"/>
      <c r="K28">
        <f t="shared" ca="1" si="7"/>
        <v>84.6</v>
      </c>
      <c r="L28">
        <f t="shared" ca="1" si="8"/>
        <v>79</v>
      </c>
      <c r="M28">
        <f t="shared" ca="1" si="9"/>
        <v>86</v>
      </c>
      <c r="N28">
        <f t="shared" ca="1" si="4"/>
        <v>83</v>
      </c>
      <c r="O28">
        <f t="shared" ca="1" si="5"/>
        <v>67</v>
      </c>
      <c r="P28">
        <f t="shared" ca="1" si="6"/>
        <v>108</v>
      </c>
      <c r="R28" s="25">
        <v>-31</v>
      </c>
      <c r="S28" s="1"/>
      <c r="T28" s="29">
        <v>35</v>
      </c>
      <c r="U28" s="1"/>
    </row>
    <row r="29" spans="2:21" x14ac:dyDescent="0.25">
      <c r="B29" s="22" t="s">
        <v>70</v>
      </c>
      <c r="C29" s="22">
        <v>33.4</v>
      </c>
      <c r="D29" s="25">
        <f>C29/10</f>
        <v>3.34</v>
      </c>
      <c r="E29" s="22">
        <v>0.1</v>
      </c>
      <c r="F29" s="22">
        <v>0.1</v>
      </c>
      <c r="G29" s="26">
        <f>ROUND($C$4/(D29/E29*F29),0)</f>
        <v>503</v>
      </c>
      <c r="H29" s="22">
        <f t="shared" si="12"/>
        <v>33</v>
      </c>
      <c r="I29" s="24"/>
      <c r="K29">
        <f t="shared" ca="1" si="7"/>
        <v>15.3</v>
      </c>
      <c r="L29">
        <f t="shared" ca="1" si="8"/>
        <v>15.600000000000023</v>
      </c>
      <c r="M29">
        <f t="shared" ca="1" si="9"/>
        <v>14.600000000000023</v>
      </c>
      <c r="N29">
        <f t="shared" ca="1" si="4"/>
        <v>32.100000000000023</v>
      </c>
      <c r="O29">
        <f t="shared" ca="1" si="5"/>
        <v>7.8999999999999773</v>
      </c>
      <c r="P29">
        <f t="shared" ca="1" si="6"/>
        <v>6.3000000000000114</v>
      </c>
      <c r="R29" s="1"/>
      <c r="S29" s="29">
        <v>61</v>
      </c>
      <c r="T29" s="25">
        <v>-11</v>
      </c>
      <c r="U29" s="1"/>
    </row>
    <row r="30" spans="2:21" x14ac:dyDescent="0.25">
      <c r="B30" s="22" t="s">
        <v>58</v>
      </c>
      <c r="C30" s="22">
        <v>76.239999999999995</v>
      </c>
      <c r="D30" s="25">
        <f t="shared" si="13"/>
        <v>7.6239999999999997</v>
      </c>
      <c r="E30" s="22">
        <v>0.2</v>
      </c>
      <c r="F30" s="22">
        <v>0.2</v>
      </c>
      <c r="G30" s="26">
        <f t="shared" si="14"/>
        <v>220</v>
      </c>
      <c r="H30" s="22">
        <f t="shared" si="12"/>
        <v>38</v>
      </c>
      <c r="I30" s="24"/>
      <c r="J30" s="30">
        <v>46058</v>
      </c>
      <c r="K30">
        <f t="shared" ca="1" si="7"/>
        <v>76.239999999999995</v>
      </c>
      <c r="L30">
        <f t="shared" ca="1" si="8"/>
        <v>44.199999999999818</v>
      </c>
      <c r="M30">
        <f t="shared" ca="1" si="9"/>
        <v>75.800000000000182</v>
      </c>
      <c r="N30">
        <f t="shared" ca="1" si="4"/>
        <v>81</v>
      </c>
      <c r="O30">
        <f t="shared" ca="1" si="5"/>
        <v>48</v>
      </c>
      <c r="P30">
        <f t="shared" ca="1" si="6"/>
        <v>132.20000000000027</v>
      </c>
      <c r="R30" s="25">
        <v>-68</v>
      </c>
      <c r="S30" s="25">
        <v>-291</v>
      </c>
      <c r="T30" s="1"/>
      <c r="U30" s="1"/>
    </row>
    <row r="31" spans="2:21" x14ac:dyDescent="0.25">
      <c r="B31" s="22" t="s">
        <v>63</v>
      </c>
      <c r="C31" s="22">
        <v>10</v>
      </c>
      <c r="D31" s="25">
        <f t="shared" si="13"/>
        <v>1</v>
      </c>
      <c r="E31" s="22">
        <v>0.05</v>
      </c>
      <c r="F31" s="22">
        <v>0.05</v>
      </c>
      <c r="G31" s="26">
        <f t="shared" si="14"/>
        <v>1680</v>
      </c>
      <c r="H31" s="22">
        <f t="shared" si="12"/>
        <v>20</v>
      </c>
      <c r="I31" s="24"/>
      <c r="K31">
        <f t="shared" ca="1" si="7"/>
        <v>3.29</v>
      </c>
      <c r="L31">
        <f t="shared" ca="1" si="8"/>
        <v>2.6000000000000085</v>
      </c>
      <c r="M31">
        <f t="shared" ca="1" si="9"/>
        <v>4.25</v>
      </c>
      <c r="N31">
        <f t="shared" ca="1" si="4"/>
        <v>3.3000000000000114</v>
      </c>
      <c r="O31">
        <f t="shared" ca="1" si="5"/>
        <v>3.1999999999999886</v>
      </c>
      <c r="P31">
        <f t="shared" ca="1" si="6"/>
        <v>3.1000000000000085</v>
      </c>
      <c r="R31" s="1"/>
      <c r="S31" s="1"/>
      <c r="T31" s="29">
        <v>33</v>
      </c>
      <c r="U31" s="1"/>
    </row>
    <row r="32" spans="2:21" x14ac:dyDescent="0.25">
      <c r="B32" s="22" t="s">
        <v>49</v>
      </c>
      <c r="C32" s="22">
        <v>6.34</v>
      </c>
      <c r="D32" s="25">
        <f t="shared" si="13"/>
        <v>0.63400000000000001</v>
      </c>
      <c r="E32" s="22">
        <v>0.05</v>
      </c>
      <c r="F32" s="22">
        <v>0.05</v>
      </c>
      <c r="G32" s="26">
        <f t="shared" si="14"/>
        <v>2650</v>
      </c>
      <c r="H32" s="22">
        <f t="shared" si="12"/>
        <v>13</v>
      </c>
      <c r="I32" s="23"/>
      <c r="J32" s="30">
        <v>46062</v>
      </c>
      <c r="K32">
        <f t="shared" ca="1" si="7"/>
        <v>6.34</v>
      </c>
      <c r="L32">
        <f t="shared" ca="1" si="8"/>
        <v>4.6499999999999773</v>
      </c>
      <c r="M32">
        <f t="shared" ca="1" si="9"/>
        <v>7.3500000000000227</v>
      </c>
      <c r="N32">
        <f t="shared" ca="1" si="4"/>
        <v>5.9499999999999886</v>
      </c>
      <c r="O32">
        <f t="shared" ca="1" si="5"/>
        <v>4.75</v>
      </c>
      <c r="P32">
        <f t="shared" ca="1" si="6"/>
        <v>9</v>
      </c>
      <c r="R32" s="29">
        <v>342</v>
      </c>
      <c r="S32" s="25">
        <v>-106</v>
      </c>
      <c r="T32" s="25">
        <v>-93</v>
      </c>
      <c r="U32" s="1"/>
    </row>
    <row r="33" spans="1:21" x14ac:dyDescent="0.25">
      <c r="B33" s="22" t="s">
        <v>67</v>
      </c>
      <c r="C33" s="22">
        <v>1.1299999999999999</v>
      </c>
      <c r="D33" s="25">
        <f>C33/10</f>
        <v>0.11299999999999999</v>
      </c>
      <c r="E33" s="22">
        <v>5.0000000000000001E-3</v>
      </c>
      <c r="F33" s="22">
        <v>0.05</v>
      </c>
      <c r="G33" s="26">
        <f>ROUND($C$4/(D33/E33*F33),0)</f>
        <v>1487</v>
      </c>
      <c r="H33" s="22">
        <f t="shared" si="12"/>
        <v>23</v>
      </c>
      <c r="I33" s="24"/>
      <c r="J33" s="30">
        <v>46062</v>
      </c>
      <c r="K33">
        <f t="shared" ca="1" si="7"/>
        <v>1.1299999999999999</v>
      </c>
      <c r="L33">
        <f t="shared" ca="1" si="8"/>
        <v>0.78499999999999659</v>
      </c>
      <c r="M33">
        <f t="shared" ca="1" si="9"/>
        <v>0.76500000000000057</v>
      </c>
      <c r="N33">
        <f t="shared" ca="1" si="4"/>
        <v>1.75</v>
      </c>
      <c r="O33">
        <f t="shared" ca="1" si="5"/>
        <v>1.0900000000000034</v>
      </c>
      <c r="P33">
        <f t="shared" ca="1" si="6"/>
        <v>1.2650000000000006</v>
      </c>
      <c r="R33" s="1"/>
      <c r="S33" s="25">
        <v>-143</v>
      </c>
      <c r="T33" s="1"/>
      <c r="U33" s="1"/>
    </row>
    <row r="34" spans="1:21" x14ac:dyDescent="0.25">
      <c r="B34" s="22" t="s">
        <v>48</v>
      </c>
      <c r="C34" s="22">
        <v>6</v>
      </c>
      <c r="D34" s="25">
        <f t="shared" si="13"/>
        <v>0.6</v>
      </c>
      <c r="E34" s="22">
        <v>0.01</v>
      </c>
      <c r="F34" s="22">
        <v>0.1</v>
      </c>
      <c r="G34" s="26">
        <f t="shared" si="14"/>
        <v>280</v>
      </c>
      <c r="H34" s="22">
        <f t="shared" si="12"/>
        <v>60</v>
      </c>
      <c r="I34" s="23"/>
      <c r="J34" s="30"/>
      <c r="K34">
        <f t="shared" ca="1" si="7"/>
        <v>3.01</v>
      </c>
      <c r="L34">
        <f t="shared" ca="1" si="8"/>
        <v>1.9800000000000182</v>
      </c>
      <c r="M34">
        <f t="shared" ca="1" si="9"/>
        <v>3.7799999999999727</v>
      </c>
      <c r="N34">
        <f t="shared" ca="1" si="4"/>
        <v>2.6299999999999955</v>
      </c>
      <c r="O34">
        <f t="shared" ca="1" si="5"/>
        <v>2.1700000000000159</v>
      </c>
      <c r="P34">
        <f t="shared" ca="1" si="6"/>
        <v>4.4900000000000091</v>
      </c>
      <c r="R34" s="29">
        <v>32</v>
      </c>
      <c r="S34" s="25">
        <v>-139</v>
      </c>
      <c r="T34" s="29">
        <v>40</v>
      </c>
      <c r="U34" s="1"/>
    </row>
    <row r="35" spans="1:21" x14ac:dyDescent="0.25">
      <c r="B35" s="22" t="s">
        <v>61</v>
      </c>
      <c r="C35" s="22">
        <v>44.16</v>
      </c>
      <c r="D35" s="25">
        <f t="shared" si="13"/>
        <v>4.4159999999999995</v>
      </c>
      <c r="E35" s="22">
        <v>0.2</v>
      </c>
      <c r="F35" s="22">
        <v>0.2</v>
      </c>
      <c r="G35" s="26">
        <f t="shared" si="14"/>
        <v>380</v>
      </c>
      <c r="H35" s="22">
        <f t="shared" si="12"/>
        <v>22</v>
      </c>
      <c r="I35" s="24"/>
      <c r="J35" s="30">
        <v>46058</v>
      </c>
      <c r="K35">
        <f t="shared" ca="1" si="7"/>
        <v>77</v>
      </c>
      <c r="L35">
        <f t="shared" ca="1" si="8"/>
        <v>132</v>
      </c>
      <c r="M35">
        <f t="shared" ca="1" si="9"/>
        <v>113.79999999999995</v>
      </c>
      <c r="N35">
        <f t="shared" ca="1" si="4"/>
        <v>41</v>
      </c>
      <c r="O35">
        <f t="shared" ca="1" si="5"/>
        <v>43</v>
      </c>
      <c r="P35">
        <f t="shared" ca="1" si="6"/>
        <v>55.200000000000045</v>
      </c>
      <c r="R35" s="25">
        <v>-89</v>
      </c>
      <c r="S35" s="25">
        <v>-300</v>
      </c>
      <c r="T35" s="1"/>
      <c r="U35" s="1"/>
    </row>
    <row r="36" spans="1:21" x14ac:dyDescent="0.25">
      <c r="B36" s="22" t="s">
        <v>65</v>
      </c>
      <c r="C36" s="22">
        <v>0.14000000000000001</v>
      </c>
      <c r="D36" s="25">
        <f>C36/10</f>
        <v>1.4000000000000002E-2</v>
      </c>
      <c r="E36" s="22">
        <v>1E-3</v>
      </c>
      <c r="F36" s="22">
        <v>0.1</v>
      </c>
      <c r="G36" s="26">
        <f>ROUND($C$4/(D36/E36*F36),0)</f>
        <v>1200</v>
      </c>
      <c r="H36" s="22">
        <f t="shared" si="12"/>
        <v>14</v>
      </c>
      <c r="I36" s="24"/>
      <c r="K36">
        <f t="shared" ca="1" si="7"/>
        <v>45290.22</v>
      </c>
      <c r="L36">
        <f t="shared" ca="1" si="8"/>
        <v>272106.75400000002</v>
      </c>
      <c r="M36">
        <f t="shared" ca="1" si="9"/>
        <v>138793</v>
      </c>
      <c r="N36">
        <f t="shared" ca="1" si="4"/>
        <v>5.1999999999999824E-2</v>
      </c>
      <c r="O36">
        <f t="shared" ca="1" si="5"/>
        <v>-184448.73800000001</v>
      </c>
      <c r="P36">
        <f t="shared" ca="1" si="6"/>
        <v>3.499999999999992E-2</v>
      </c>
      <c r="R36" s="29">
        <v>71</v>
      </c>
      <c r="S36" s="22"/>
      <c r="T36" s="1"/>
      <c r="U36" s="1"/>
    </row>
    <row r="37" spans="1:21" x14ac:dyDescent="0.25">
      <c r="B37" s="22" t="s">
        <v>71</v>
      </c>
      <c r="C37" s="22">
        <v>18.600000000000001</v>
      </c>
      <c r="D37" s="25">
        <f>C37/10</f>
        <v>1.86</v>
      </c>
      <c r="E37" s="22">
        <v>0.05</v>
      </c>
      <c r="F37" s="22">
        <v>0.05</v>
      </c>
      <c r="G37" s="26">
        <f>ROUND($C$4/(D37/E37*F37),0)</f>
        <v>903</v>
      </c>
      <c r="H37" s="22">
        <f t="shared" si="12"/>
        <v>37</v>
      </c>
      <c r="I37" s="24"/>
      <c r="K37">
        <f t="shared" ca="1" si="7"/>
        <v>7.94</v>
      </c>
      <c r="L37">
        <f t="shared" ca="1" si="8"/>
        <v>6.9499999999999886</v>
      </c>
      <c r="M37">
        <f t="shared" ca="1" si="9"/>
        <v>9.5500000000000114</v>
      </c>
      <c r="N37">
        <f t="shared" ca="1" si="4"/>
        <v>8</v>
      </c>
      <c r="O37">
        <f t="shared" ca="1" si="5"/>
        <v>5.8000000000000114</v>
      </c>
      <c r="P37">
        <f t="shared" ca="1" si="6"/>
        <v>9.4000000000000341</v>
      </c>
      <c r="R37" s="25">
        <v>-9</v>
      </c>
      <c r="S37" s="29">
        <v>42</v>
      </c>
      <c r="T37" s="1"/>
      <c r="U37" s="1"/>
    </row>
    <row r="38" spans="1:21" x14ac:dyDescent="0.25">
      <c r="B38" s="22" t="s">
        <v>69</v>
      </c>
      <c r="C38" s="22">
        <v>45</v>
      </c>
      <c r="D38" s="25">
        <f>C38/10</f>
        <v>4.5</v>
      </c>
      <c r="E38" s="22">
        <v>0.2</v>
      </c>
      <c r="F38" s="22">
        <v>0.2</v>
      </c>
      <c r="G38" s="26">
        <f>ROUND($C$4/(D38/E38*F38),0)</f>
        <v>373</v>
      </c>
      <c r="H38" s="22">
        <f t="shared" si="12"/>
        <v>23</v>
      </c>
      <c r="I38" s="24"/>
      <c r="J38" s="30">
        <v>46058</v>
      </c>
      <c r="K38">
        <f t="shared" ca="1" si="7"/>
        <v>52.66</v>
      </c>
      <c r="L38">
        <f t="shared" ca="1" si="8"/>
        <v>41.199999999999932</v>
      </c>
      <c r="M38">
        <f t="shared" ca="1" si="9"/>
        <v>69.600000000000023</v>
      </c>
      <c r="N38">
        <f t="shared" ca="1" si="4"/>
        <v>115</v>
      </c>
      <c r="O38">
        <f t="shared" ca="1" si="5"/>
        <v>22</v>
      </c>
      <c r="P38">
        <f t="shared" ca="1" si="6"/>
        <v>15.5</v>
      </c>
      <c r="R38" s="1"/>
      <c r="S38" s="1"/>
      <c r="T38" s="29">
        <v>22</v>
      </c>
      <c r="U38" s="1"/>
    </row>
    <row r="39" spans="1:21" x14ac:dyDescent="0.25">
      <c r="B39" s="1" t="s">
        <v>76</v>
      </c>
      <c r="C39" s="22">
        <v>690</v>
      </c>
      <c r="D39" s="25">
        <f>C39/10</f>
        <v>69</v>
      </c>
      <c r="E39" s="22">
        <v>5.0000000000000001E-3</v>
      </c>
      <c r="F39" s="22">
        <v>0.5</v>
      </c>
      <c r="G39" s="26">
        <f>ROUND($C$4/(D39/E39*F39),0)</f>
        <v>0</v>
      </c>
      <c r="H39" s="22">
        <f t="shared" si="12"/>
        <v>13800</v>
      </c>
      <c r="I39" s="24"/>
      <c r="K39">
        <f t="shared" ca="1" si="7"/>
        <v>-9252.58</v>
      </c>
      <c r="L39">
        <f t="shared" ca="1" si="8"/>
        <v>0.30000000000000071</v>
      </c>
      <c r="M39">
        <f t="shared" ca="1" si="9"/>
        <v>0.51000000000000156</v>
      </c>
      <c r="N39">
        <f t="shared" ca="1" si="4"/>
        <v>-46264.525000000001</v>
      </c>
      <c r="O39">
        <f t="shared" ca="1" si="5"/>
        <v>0.26500000000000057</v>
      </c>
      <c r="P39">
        <f t="shared" ca="1" si="6"/>
        <v>0.54499999999999815</v>
      </c>
    </row>
    <row r="40" spans="1:21" x14ac:dyDescent="0.25">
      <c r="B40" s="22" t="s">
        <v>60</v>
      </c>
      <c r="C40" s="22">
        <v>1.65</v>
      </c>
      <c r="D40" s="25">
        <f t="shared" si="13"/>
        <v>0.16499999999999998</v>
      </c>
      <c r="E40" s="22">
        <v>5.0000000000000001E-3</v>
      </c>
      <c r="F40" s="22">
        <v>0.05</v>
      </c>
      <c r="G40" s="26">
        <f t="shared" si="14"/>
        <v>1018</v>
      </c>
      <c r="H40" s="22">
        <f t="shared" si="12"/>
        <v>33</v>
      </c>
      <c r="I40" s="24"/>
      <c r="K40">
        <f t="shared" ca="1" si="7"/>
        <v>0.87</v>
      </c>
      <c r="L40">
        <f t="shared" ca="1" si="8"/>
        <v>1.0649999999999977</v>
      </c>
      <c r="M40">
        <f t="shared" ca="1" si="9"/>
        <v>0.94000000000000483</v>
      </c>
      <c r="N40">
        <f t="shared" ca="1" si="4"/>
        <v>1.0300000000000011</v>
      </c>
      <c r="O40">
        <f t="shared" ca="1" si="5"/>
        <v>0.42999999999999972</v>
      </c>
      <c r="P40">
        <f t="shared" ca="1" si="6"/>
        <v>0.86999999999999744</v>
      </c>
      <c r="R40" s="25">
        <v>-18</v>
      </c>
      <c r="S40" s="25">
        <v>-76</v>
      </c>
      <c r="T40" s="25">
        <v>-116</v>
      </c>
      <c r="U40" s="1"/>
    </row>
    <row r="41" spans="1:21" x14ac:dyDescent="0.25">
      <c r="B41" s="22" t="s">
        <v>62</v>
      </c>
      <c r="C41" s="22">
        <v>12</v>
      </c>
      <c r="D41" s="25">
        <f t="shared" si="13"/>
        <v>1.2</v>
      </c>
      <c r="E41" s="22">
        <v>0.1</v>
      </c>
      <c r="F41" s="22">
        <v>0.1</v>
      </c>
      <c r="G41" s="26">
        <f t="shared" si="14"/>
        <v>1400</v>
      </c>
      <c r="H41" s="22">
        <f t="shared" si="12"/>
        <v>12</v>
      </c>
      <c r="I41" s="24"/>
      <c r="K41">
        <f t="shared" ca="1" si="7"/>
        <v>11.86</v>
      </c>
      <c r="L41">
        <f ca="1">VALUE(SUBSTITUTE(_xlfn.FILTERXML(_xlfn.WEBSERVICE("https://iss.moex.com/iss/engines/stock/markets/shares/securities/"&amp;B41&amp;"/candles.xml?from="&amp;$L$7&amp;"&amp;till="&amp;$L$7&amp;"&amp;interval=24"),"//document//data//rows//row/@high"),".",","))-VALUE(SUBSTITUTE(_xlfn.FILTERXML(_xlfn.WEBSERVICE("https://iss.moex.com/iss/engines/stock/markets/shares/securities/"&amp;B41&amp;"/candles.xml?from="&amp;$L$7&amp;"&amp;till="&amp;$L$7&amp;"&amp;interval=24"),"//document//data//rows//row/@low"),".",","))</f>
        <v>8.3999999999999773</v>
      </c>
      <c r="M41">
        <f t="shared" ca="1" si="9"/>
        <v>13.5</v>
      </c>
      <c r="N41">
        <f t="shared" ca="1" si="4"/>
        <v>14.899999999999977</v>
      </c>
      <c r="O41">
        <f t="shared" ca="1" si="5"/>
        <v>8.8000000000000682</v>
      </c>
      <c r="P41">
        <f t="shared" ca="1" si="6"/>
        <v>13.700000000000045</v>
      </c>
      <c r="R41" s="25">
        <v>-114</v>
      </c>
      <c r="S41" s="29">
        <v>6</v>
      </c>
      <c r="T41" s="1"/>
      <c r="U41" s="1"/>
    </row>
    <row r="42" spans="1:21" x14ac:dyDescent="0.25">
      <c r="B42" s="22" t="s">
        <v>52</v>
      </c>
      <c r="C42" s="22">
        <v>6</v>
      </c>
      <c r="D42" s="25">
        <f>C42/10</f>
        <v>0.6</v>
      </c>
      <c r="E42" s="22">
        <v>0.02</v>
      </c>
      <c r="F42" s="22">
        <v>0.2</v>
      </c>
      <c r="G42" s="26">
        <f t="shared" ref="G42:G47" si="15">ROUND($C$4/(D42/E42*F42),0)</f>
        <v>280</v>
      </c>
      <c r="H42" s="22">
        <f t="shared" si="12"/>
        <v>30</v>
      </c>
      <c r="I42" s="24"/>
      <c r="K42">
        <f t="shared" ca="1" si="7"/>
        <v>2.21</v>
      </c>
      <c r="L42">
        <f t="shared" ca="1" si="8"/>
        <v>1.4000000000000057</v>
      </c>
      <c r="M42">
        <f t="shared" ca="1" si="9"/>
        <v>2.4399999999999977</v>
      </c>
      <c r="N42">
        <f t="shared" ca="1" si="4"/>
        <v>3.3599999999999994</v>
      </c>
      <c r="O42">
        <f t="shared" ca="1" si="5"/>
        <v>2.1999999999999886</v>
      </c>
      <c r="P42">
        <f t="shared" ca="1" si="6"/>
        <v>1.6599999999999966</v>
      </c>
      <c r="R42" s="29">
        <v>7</v>
      </c>
      <c r="S42" s="25">
        <v>-262</v>
      </c>
      <c r="T42" s="1"/>
      <c r="U42" s="1"/>
    </row>
    <row r="43" spans="1:21" x14ac:dyDescent="0.25">
      <c r="B43" s="22" t="s">
        <v>74</v>
      </c>
      <c r="C43" s="22">
        <v>70</v>
      </c>
      <c r="D43" s="25">
        <f>C43/10</f>
        <v>7</v>
      </c>
      <c r="E43" s="22">
        <v>0.5</v>
      </c>
      <c r="F43" s="22">
        <v>0.5</v>
      </c>
      <c r="G43" s="26">
        <f t="shared" si="15"/>
        <v>240</v>
      </c>
      <c r="H43" s="22">
        <f t="shared" ref="H43:H45" si="16">ROUND(D43/E43,0)</f>
        <v>14</v>
      </c>
      <c r="I43" s="24"/>
      <c r="K43">
        <f t="shared" ca="1" si="7"/>
        <v>17.68</v>
      </c>
      <c r="L43">
        <f t="shared" ca="1" si="8"/>
        <v>22.399999999999864</v>
      </c>
      <c r="M43">
        <f t="shared" ca="1" si="9"/>
        <v>15</v>
      </c>
      <c r="N43">
        <f t="shared" ca="1" si="4"/>
        <v>18.399999999999864</v>
      </c>
      <c r="O43">
        <f t="shared" ca="1" si="5"/>
        <v>9.8000000000001819</v>
      </c>
      <c r="P43">
        <f t="shared" ca="1" si="6"/>
        <v>22.799999999999955</v>
      </c>
      <c r="R43" s="1"/>
      <c r="S43" s="25">
        <v>-8</v>
      </c>
      <c r="T43" s="29">
        <v>5</v>
      </c>
      <c r="U43" s="1"/>
    </row>
    <row r="44" spans="1:21" x14ac:dyDescent="0.25">
      <c r="B44" s="22" t="s">
        <v>81</v>
      </c>
      <c r="C44" s="22">
        <v>5.1400000000000001E-2</v>
      </c>
      <c r="D44" s="25">
        <f>ROUND(C44/10,4)</f>
        <v>5.1000000000000004E-3</v>
      </c>
      <c r="E44" s="1">
        <v>1E-4</v>
      </c>
      <c r="F44" s="1">
        <v>0.1</v>
      </c>
      <c r="G44" s="26">
        <f t="shared" si="15"/>
        <v>329</v>
      </c>
      <c r="H44" s="22">
        <f t="shared" si="16"/>
        <v>51</v>
      </c>
      <c r="I44" s="24"/>
      <c r="J44" s="30">
        <v>46057</v>
      </c>
      <c r="K44">
        <f ca="1">ROUND(AVERAGE(L44:P44),4)</f>
        <v>5.8900000000000001E-2</v>
      </c>
      <c r="L44">
        <f t="shared" ca="1" si="8"/>
        <v>4.0999999999999925E-2</v>
      </c>
      <c r="M44">
        <f t="shared" ca="1" si="9"/>
        <v>4.0599999999999969E-2</v>
      </c>
      <c r="N44">
        <f t="shared" ca="1" si="4"/>
        <v>8.2900000000000085E-2</v>
      </c>
      <c r="O44">
        <f t="shared" ca="1" si="5"/>
        <v>7.6999999999999957E-2</v>
      </c>
      <c r="P44">
        <f t="shared" ca="1" si="6"/>
        <v>5.2799999999999958E-2</v>
      </c>
      <c r="R44" s="1"/>
      <c r="S44" s="22"/>
      <c r="T44" s="22"/>
      <c r="U44" s="1"/>
    </row>
    <row r="45" spans="1:21" x14ac:dyDescent="0.25">
      <c r="B45" s="1" t="s">
        <v>44</v>
      </c>
      <c r="C45" s="1">
        <v>9.7100000000000009</v>
      </c>
      <c r="D45" s="25">
        <f>C45/10</f>
        <v>0.97100000000000009</v>
      </c>
      <c r="E45" s="1">
        <v>0.05</v>
      </c>
      <c r="F45" s="1">
        <v>0.05</v>
      </c>
      <c r="G45" s="26">
        <f t="shared" si="15"/>
        <v>1730</v>
      </c>
      <c r="H45" s="22">
        <f t="shared" si="16"/>
        <v>19</v>
      </c>
      <c r="I45" s="23"/>
      <c r="J45" s="30">
        <v>46058</v>
      </c>
      <c r="K45">
        <f t="shared" ca="1" si="7"/>
        <v>8.61</v>
      </c>
      <c r="L45">
        <f t="shared" ca="1" si="8"/>
        <v>5.3499999999999659</v>
      </c>
      <c r="M45">
        <f t="shared" ca="1" si="9"/>
        <v>7.0500000000000114</v>
      </c>
      <c r="N45">
        <f t="shared" ca="1" si="4"/>
        <v>10.449999999999989</v>
      </c>
      <c r="O45">
        <f t="shared" ca="1" si="5"/>
        <v>12.600000000000023</v>
      </c>
      <c r="P45">
        <f t="shared" ca="1" si="6"/>
        <v>7.5999999999999659</v>
      </c>
      <c r="R45" s="1"/>
      <c r="S45" s="29">
        <v>24</v>
      </c>
      <c r="T45" s="1"/>
      <c r="U45" s="1"/>
    </row>
    <row r="46" spans="1:21" x14ac:dyDescent="0.25">
      <c r="A46" t="s">
        <v>78</v>
      </c>
      <c r="B46" s="22" t="s">
        <v>59</v>
      </c>
      <c r="C46" s="22">
        <v>2.61</v>
      </c>
      <c r="D46" s="25">
        <f>C46/10</f>
        <v>0.26100000000000001</v>
      </c>
      <c r="E46" s="22">
        <v>5.0000000000000001E-3</v>
      </c>
      <c r="F46" s="22">
        <v>5.0000000000000001E-3</v>
      </c>
      <c r="G46" s="26">
        <f t="shared" si="15"/>
        <v>6437</v>
      </c>
      <c r="H46" s="22">
        <f>ROUND(D46/E46,0)</f>
        <v>52</v>
      </c>
      <c r="I46" s="24"/>
      <c r="J46" s="30">
        <v>46057</v>
      </c>
      <c r="K46">
        <f t="shared" ca="1" si="7"/>
        <v>2.86</v>
      </c>
      <c r="L46">
        <f t="shared" ca="1" si="8"/>
        <v>2.5949999999999989</v>
      </c>
      <c r="M46">
        <f t="shared" ca="1" si="9"/>
        <v>2.1049999999999898</v>
      </c>
      <c r="N46">
        <f t="shared" ca="1" si="4"/>
        <v>2.4749999999999943</v>
      </c>
      <c r="O46">
        <f t="shared" ca="1" si="5"/>
        <v>2.6299999999999955</v>
      </c>
      <c r="P46">
        <f t="shared" ca="1" si="6"/>
        <v>4.5100000000000051</v>
      </c>
      <c r="R46" s="29">
        <v>19</v>
      </c>
      <c r="S46" s="29">
        <v>122</v>
      </c>
      <c r="T46" s="1"/>
      <c r="U46" s="1"/>
    </row>
    <row r="47" spans="1:21" x14ac:dyDescent="0.25">
      <c r="B47" s="1" t="s">
        <v>77</v>
      </c>
      <c r="C47" s="22">
        <v>100</v>
      </c>
      <c r="D47" s="25">
        <f>C47/10</f>
        <v>10</v>
      </c>
      <c r="E47" s="22">
        <v>0.5</v>
      </c>
      <c r="F47" s="22">
        <v>0.5</v>
      </c>
      <c r="G47" s="26">
        <f t="shared" si="15"/>
        <v>168</v>
      </c>
      <c r="H47" s="22">
        <f>ROUND(D47/E47,0)</f>
        <v>20</v>
      </c>
      <c r="I47" s="24"/>
      <c r="K47">
        <f t="shared" ca="1" si="7"/>
        <v>42.7</v>
      </c>
      <c r="L47">
        <f t="shared" ca="1" si="8"/>
        <v>43</v>
      </c>
      <c r="M47">
        <f t="shared" ca="1" si="9"/>
        <v>45</v>
      </c>
      <c r="N47">
        <f t="shared" ca="1" si="4"/>
        <v>70</v>
      </c>
      <c r="O47">
        <f t="shared" ca="1" si="5"/>
        <v>23.5</v>
      </c>
      <c r="P47">
        <f t="shared" ca="1" si="6"/>
        <v>32</v>
      </c>
      <c r="R47" s="1"/>
      <c r="S47" s="1"/>
      <c r="T47" s="1"/>
      <c r="U47" s="1"/>
    </row>
    <row r="48" spans="1:21" x14ac:dyDescent="0.25">
      <c r="B48" s="1" t="s">
        <v>37</v>
      </c>
      <c r="C48" s="1">
        <v>140</v>
      </c>
      <c r="D48" s="25">
        <f t="shared" ref="D48:D51" si="17">C48/10</f>
        <v>14</v>
      </c>
      <c r="E48" s="1">
        <v>0.5</v>
      </c>
      <c r="F48" s="1">
        <v>0.5</v>
      </c>
      <c r="G48" s="26">
        <f t="shared" ref="G48:G51" si="18">ROUND($C$4/(D48/E48*F48),0)</f>
        <v>120</v>
      </c>
      <c r="H48" s="22">
        <f t="shared" ref="H48:H51" si="19">ROUND(D48/E48,0)</f>
        <v>28</v>
      </c>
      <c r="I48" s="23"/>
      <c r="K48">
        <f t="shared" ca="1" si="7"/>
        <v>83.8</v>
      </c>
      <c r="L48">
        <f t="shared" ca="1" si="8"/>
        <v>70.5</v>
      </c>
      <c r="M48">
        <f t="shared" ca="1" si="9"/>
        <v>133</v>
      </c>
      <c r="N48">
        <f t="shared" ca="1" si="4"/>
        <v>85.5</v>
      </c>
      <c r="O48">
        <f t="shared" ca="1" si="5"/>
        <v>65</v>
      </c>
      <c r="P48">
        <f t="shared" ca="1" si="6"/>
        <v>65</v>
      </c>
      <c r="R48" s="1">
        <v>-97</v>
      </c>
      <c r="S48" s="25">
        <v>-176</v>
      </c>
      <c r="T48" s="29">
        <v>11</v>
      </c>
      <c r="U48" s="1"/>
    </row>
    <row r="49" spans="2:21" x14ac:dyDescent="0.25">
      <c r="B49" s="27" t="s">
        <v>73</v>
      </c>
      <c r="C49" s="22">
        <v>60</v>
      </c>
      <c r="D49" s="25">
        <f t="shared" si="17"/>
        <v>6</v>
      </c>
      <c r="E49" s="1">
        <v>0.05</v>
      </c>
      <c r="F49" s="1">
        <v>0.5</v>
      </c>
      <c r="G49" s="26">
        <f t="shared" si="18"/>
        <v>28</v>
      </c>
      <c r="H49" s="22">
        <f t="shared" si="19"/>
        <v>120</v>
      </c>
      <c r="I49" s="23"/>
      <c r="R49" s="1"/>
      <c r="S49" s="25">
        <v>-489</v>
      </c>
      <c r="T49" s="29">
        <v>255</v>
      </c>
      <c r="U49" s="1"/>
    </row>
    <row r="50" spans="2:21" ht="14.25" customHeight="1" x14ac:dyDescent="0.25">
      <c r="B50" s="27" t="s">
        <v>11</v>
      </c>
      <c r="C50" s="22">
        <v>0.1</v>
      </c>
      <c r="D50" s="25">
        <f t="shared" si="17"/>
        <v>0.01</v>
      </c>
      <c r="E50" s="22">
        <v>1E-3</v>
      </c>
      <c r="F50" s="22">
        <v>1</v>
      </c>
      <c r="G50" s="26">
        <f t="shared" si="18"/>
        <v>168</v>
      </c>
      <c r="H50" s="22">
        <f t="shared" si="19"/>
        <v>10</v>
      </c>
      <c r="I50" s="24"/>
      <c r="R50" s="29">
        <v>445</v>
      </c>
      <c r="S50" s="25">
        <v>-21</v>
      </c>
      <c r="T50" s="29">
        <v>125</v>
      </c>
      <c r="U50" s="1"/>
    </row>
    <row r="51" spans="2:21" x14ac:dyDescent="0.25">
      <c r="B51" s="27" t="s">
        <v>82</v>
      </c>
      <c r="C51" s="22">
        <v>550</v>
      </c>
      <c r="D51" s="25">
        <f t="shared" si="17"/>
        <v>55</v>
      </c>
      <c r="E51" s="22">
        <v>1</v>
      </c>
      <c r="F51" s="22">
        <v>1</v>
      </c>
      <c r="G51" s="26">
        <f t="shared" si="18"/>
        <v>31</v>
      </c>
      <c r="H51" s="22">
        <f t="shared" si="19"/>
        <v>55</v>
      </c>
      <c r="I51" s="24"/>
      <c r="M51">
        <f ca="1">VALUE(SUBSTITUTE(_xlfn.FILTERXML(_xlfn.WEBSERVICE("https://iss.moex.com/iss/engines/futures/markets/forts/securities/"&amp;B51&amp;"/candles.xml?from="&amp;$M$7&amp;"&amp;till="&amp;$M$7&amp;"&amp;interval=24"),"//document//data//rows//row/@high"),".",","))-VALUE(SUBSTITUTE(_xlfn.FILTERXML(_xlfn.WEBSERVICE("https://iss.moex.com/iss/engines/futures/markets/forts/securities/"&amp;B51&amp;"/candles.xml?from="&amp;$M$7&amp;"&amp;till="&amp;$M$7&amp;"&amp;interval=24"),"//document//data//rows//row/@low"),".",","))</f>
        <v>966</v>
      </c>
      <c r="R51" s="29">
        <v>459</v>
      </c>
      <c r="S51" s="29">
        <v>596</v>
      </c>
      <c r="T51" s="25">
        <v>-455</v>
      </c>
      <c r="U5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2026-02-09T08:14:14Z</dcterms:modified>
</cp:coreProperties>
</file>